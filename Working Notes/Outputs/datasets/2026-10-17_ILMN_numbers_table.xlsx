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ec57dbfba1bbe215/Documents/ILMN Claude Code Local Folder/Working Notes/Outputs/datasets/"/>
    </mc:Choice>
  </mc:AlternateContent>
  <xr:revisionPtr revIDLastSave="26" documentId="11_B49DCD6C514172DE53082BBC5279D54AF7424363" xr6:coauthVersionLast="47" xr6:coauthVersionMax="47" xr10:uidLastSave="{F6DBE117-2DE8-47BC-9212-4F6538F0595B}"/>
  <bookViews>
    <workbookView xWindow="-98" yWindow="-98" windowWidth="19396" windowHeight="11475" xr2:uid="{00000000-000D-0000-FFFF-FFFF00000000}"/>
  </bookViews>
  <sheets>
    <sheet name="Quarterly" sheetId="1" r:id="rId1"/>
    <sheet name="Annual" sheetId="2" r:id="rId2"/>
    <sheet name="Addendum" sheetId="3" r:id="rId3"/>
    <sheet name="Data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5" i="4" l="1"/>
  <c r="F155" i="4"/>
  <c r="E155" i="4"/>
  <c r="D155" i="4"/>
  <c r="C155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AB151" i="4"/>
  <c r="AA151" i="4"/>
  <c r="Z151" i="4"/>
  <c r="Y151" i="4"/>
  <c r="X151" i="4"/>
  <c r="W151" i="4"/>
  <c r="V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AB133" i="4"/>
  <c r="AA133" i="4"/>
  <c r="Z133" i="4"/>
  <c r="Y133" i="4"/>
  <c r="X133" i="4"/>
  <c r="W133" i="4"/>
  <c r="V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AB130" i="4"/>
  <c r="AA130" i="4"/>
  <c r="Z130" i="4"/>
  <c r="Y130" i="4"/>
  <c r="X130" i="4"/>
  <c r="W130" i="4"/>
  <c r="V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AB116" i="4"/>
  <c r="AB148" i="4" s="1"/>
  <c r="G69" i="2" s="1"/>
  <c r="AA116" i="4"/>
  <c r="AA148" i="4" s="1"/>
  <c r="F69" i="2" s="1"/>
  <c r="Z116" i="4"/>
  <c r="Z148" i="4" s="1"/>
  <c r="E69" i="2" s="1"/>
  <c r="Y116" i="4"/>
  <c r="Y148" i="4" s="1"/>
  <c r="D69" i="2" s="1"/>
  <c r="X116" i="4"/>
  <c r="X148" i="4" s="1"/>
  <c r="C69" i="2" s="1"/>
  <c r="W116" i="4"/>
  <c r="W148" i="4" s="1"/>
  <c r="B69" i="2" s="1"/>
  <c r="V116" i="4"/>
  <c r="V148" i="4" s="1"/>
  <c r="U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F149" i="4" s="1"/>
  <c r="E116" i="4"/>
  <c r="E149" i="4" s="1"/>
  <c r="D116" i="4"/>
  <c r="D149" i="4" s="1"/>
  <c r="C116" i="4"/>
  <c r="AB114" i="4"/>
  <c r="AB145" i="4" s="1"/>
  <c r="G67" i="2" s="1"/>
  <c r="AA114" i="4"/>
  <c r="AA145" i="4" s="1"/>
  <c r="F67" i="2" s="1"/>
  <c r="Z114" i="4"/>
  <c r="Z145" i="4" s="1"/>
  <c r="E67" i="2" s="1"/>
  <c r="Y114" i="4"/>
  <c r="Y145" i="4" s="1"/>
  <c r="D67" i="2" s="1"/>
  <c r="X114" i="4"/>
  <c r="X145" i="4" s="1"/>
  <c r="C67" i="2" s="1"/>
  <c r="W114" i="4"/>
  <c r="W145" i="4" s="1"/>
  <c r="B67" i="2" s="1"/>
  <c r="V114" i="4"/>
  <c r="V145" i="4" s="1"/>
  <c r="U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F146" i="4" s="1"/>
  <c r="E114" i="4"/>
  <c r="E146" i="4" s="1"/>
  <c r="D114" i="4"/>
  <c r="D146" i="4" s="1"/>
  <c r="C114" i="4"/>
  <c r="AB112" i="4"/>
  <c r="AB142" i="4" s="1"/>
  <c r="G65" i="2" s="1"/>
  <c r="AA112" i="4"/>
  <c r="AA142" i="4" s="1"/>
  <c r="F65" i="2" s="1"/>
  <c r="Z112" i="4"/>
  <c r="Z142" i="4" s="1"/>
  <c r="E65" i="2" s="1"/>
  <c r="Y112" i="4"/>
  <c r="Y142" i="4" s="1"/>
  <c r="D65" i="2" s="1"/>
  <c r="X112" i="4"/>
  <c r="X142" i="4" s="1"/>
  <c r="C65" i="2" s="1"/>
  <c r="W112" i="4"/>
  <c r="W142" i="4" s="1"/>
  <c r="B65" i="2" s="1"/>
  <c r="V112" i="4"/>
  <c r="V142" i="4" s="1"/>
  <c r="U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F143" i="4" s="1"/>
  <c r="E112" i="4"/>
  <c r="E143" i="4" s="1"/>
  <c r="D112" i="4"/>
  <c r="D143" i="4" s="1"/>
  <c r="C112" i="4"/>
  <c r="AB110" i="4"/>
  <c r="AB139" i="4" s="1"/>
  <c r="G63" i="2" s="1"/>
  <c r="AA110" i="4"/>
  <c r="AA139" i="4" s="1"/>
  <c r="F63" i="2" s="1"/>
  <c r="Z110" i="4"/>
  <c r="Z139" i="4" s="1"/>
  <c r="E63" i="2" s="1"/>
  <c r="Y110" i="4"/>
  <c r="Y139" i="4" s="1"/>
  <c r="D63" i="2" s="1"/>
  <c r="X110" i="4"/>
  <c r="X139" i="4" s="1"/>
  <c r="C63" i="2" s="1"/>
  <c r="W110" i="4"/>
  <c r="W139" i="4" s="1"/>
  <c r="B63" i="2" s="1"/>
  <c r="V110" i="4"/>
  <c r="V139" i="4" s="1"/>
  <c r="U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F140" i="4" s="1"/>
  <c r="E110" i="4"/>
  <c r="E140" i="4" s="1"/>
  <c r="D110" i="4"/>
  <c r="D140" i="4" s="1"/>
  <c r="C110" i="4"/>
  <c r="AB108" i="4"/>
  <c r="AB136" i="4" s="1"/>
  <c r="G61" i="2" s="1"/>
  <c r="AA108" i="4"/>
  <c r="AA136" i="4" s="1"/>
  <c r="F61" i="2" s="1"/>
  <c r="Z108" i="4"/>
  <c r="Z136" i="4" s="1"/>
  <c r="E61" i="2" s="1"/>
  <c r="Y108" i="4"/>
  <c r="Y136" i="4" s="1"/>
  <c r="D61" i="2" s="1"/>
  <c r="X108" i="4"/>
  <c r="X136" i="4" s="1"/>
  <c r="C61" i="2" s="1"/>
  <c r="W108" i="4"/>
  <c r="W136" i="4" s="1"/>
  <c r="B61" i="2" s="1"/>
  <c r="V108" i="4"/>
  <c r="V136" i="4" s="1"/>
  <c r="U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F137" i="4" s="1"/>
  <c r="E108" i="4"/>
  <c r="E137" i="4" s="1"/>
  <c r="D108" i="4"/>
  <c r="D137" i="4" s="1"/>
  <c r="C108" i="4"/>
  <c r="AB106" i="4"/>
  <c r="AB127" i="4" s="1"/>
  <c r="G54" i="2" s="1"/>
  <c r="AA106" i="4"/>
  <c r="AA127" i="4" s="1"/>
  <c r="F54" i="2" s="1"/>
  <c r="Z106" i="4"/>
  <c r="Z127" i="4" s="1"/>
  <c r="E54" i="2" s="1"/>
  <c r="Y106" i="4"/>
  <c r="Y127" i="4" s="1"/>
  <c r="D54" i="2" s="1"/>
  <c r="X106" i="4"/>
  <c r="X127" i="4" s="1"/>
  <c r="C54" i="2" s="1"/>
  <c r="W106" i="4"/>
  <c r="W127" i="4" s="1"/>
  <c r="B54" i="2" s="1"/>
  <c r="V106" i="4"/>
  <c r="V127" i="4" s="1"/>
  <c r="U106" i="4"/>
  <c r="R106" i="4"/>
  <c r="Q106" i="4"/>
  <c r="P106" i="4"/>
  <c r="O106" i="4"/>
  <c r="N106" i="4"/>
  <c r="M106" i="4"/>
  <c r="L106" i="4"/>
  <c r="K106" i="4"/>
  <c r="J106" i="4"/>
  <c r="I106" i="4"/>
  <c r="H106" i="4"/>
  <c r="H128" i="4" s="1"/>
  <c r="G106" i="4"/>
  <c r="G128" i="4" s="1"/>
  <c r="F106" i="4"/>
  <c r="F128" i="4" s="1"/>
  <c r="E106" i="4"/>
  <c r="E128" i="4" s="1"/>
  <c r="D106" i="4"/>
  <c r="D128" i="4" s="1"/>
  <c r="C106" i="4"/>
  <c r="AB104" i="4"/>
  <c r="AA104" i="4"/>
  <c r="Z104" i="4"/>
  <c r="Y104" i="4"/>
  <c r="X104" i="4"/>
  <c r="W104" i="4"/>
  <c r="V104" i="4"/>
  <c r="U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B102" i="4"/>
  <c r="AA102" i="4"/>
  <c r="Z102" i="4"/>
  <c r="Y102" i="4"/>
  <c r="X102" i="4"/>
  <c r="W102" i="4"/>
  <c r="V102" i="4"/>
  <c r="U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B100" i="4"/>
  <c r="AA100" i="4"/>
  <c r="Z100" i="4"/>
  <c r="Y100" i="4"/>
  <c r="X100" i="4"/>
  <c r="W100" i="4"/>
  <c r="V100" i="4"/>
  <c r="U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AB92" i="4"/>
  <c r="AA92" i="4"/>
  <c r="Z92" i="4"/>
  <c r="Y92" i="4"/>
  <c r="X92" i="4"/>
  <c r="W92" i="4"/>
  <c r="W94" i="4" s="1"/>
  <c r="B75" i="2" s="1"/>
  <c r="R92" i="4"/>
  <c r="Q92" i="4"/>
  <c r="P92" i="4"/>
  <c r="O92" i="4"/>
  <c r="N92" i="4"/>
  <c r="M92" i="4"/>
  <c r="L92" i="4"/>
  <c r="K92" i="4"/>
  <c r="J92" i="4"/>
  <c r="J94" i="4" s="1"/>
  <c r="C96" i="1" s="1"/>
  <c r="I92" i="4"/>
  <c r="I94" i="4" s="1"/>
  <c r="B96" i="1" s="1"/>
  <c r="H92" i="4"/>
  <c r="H94" i="4" s="1"/>
  <c r="G92" i="4"/>
  <c r="G94" i="4" s="1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AB81" i="4"/>
  <c r="AA81" i="4"/>
  <c r="Z81" i="4"/>
  <c r="Y81" i="4"/>
  <c r="X81" i="4"/>
  <c r="W81" i="4"/>
  <c r="V81" i="4"/>
  <c r="R81" i="4"/>
  <c r="Q81" i="4"/>
  <c r="P81" i="4"/>
  <c r="O81" i="4"/>
  <c r="N81" i="4"/>
  <c r="M81" i="4"/>
  <c r="L81" i="4"/>
  <c r="K81" i="4"/>
  <c r="J81" i="4"/>
  <c r="J83" i="4" s="1"/>
  <c r="I81" i="4"/>
  <c r="I83" i="4" s="1"/>
  <c r="H81" i="4"/>
  <c r="H83" i="4" s="1"/>
  <c r="G81" i="4"/>
  <c r="G83" i="4" s="1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AB76" i="4"/>
  <c r="AA76" i="4"/>
  <c r="Z76" i="4"/>
  <c r="Y76" i="4"/>
  <c r="X76" i="4"/>
  <c r="W76" i="4"/>
  <c r="V76" i="4"/>
  <c r="R76" i="4"/>
  <c r="Q76" i="4"/>
  <c r="P76" i="4"/>
  <c r="O76" i="4"/>
  <c r="N76" i="4"/>
  <c r="M76" i="4"/>
  <c r="L76" i="4"/>
  <c r="K76" i="4"/>
  <c r="J76" i="4"/>
  <c r="J78" i="4" s="1"/>
  <c r="I76" i="4"/>
  <c r="I78" i="4" s="1"/>
  <c r="H76" i="4"/>
  <c r="H78" i="4" s="1"/>
  <c r="G76" i="4"/>
  <c r="G78" i="4" s="1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AB71" i="4"/>
  <c r="AA71" i="4"/>
  <c r="Z71" i="4"/>
  <c r="Y71" i="4"/>
  <c r="X71" i="4"/>
  <c r="W71" i="4"/>
  <c r="V71" i="4"/>
  <c r="R71" i="4"/>
  <c r="Q71" i="4"/>
  <c r="P71" i="4"/>
  <c r="O71" i="4"/>
  <c r="N71" i="4"/>
  <c r="M71" i="4"/>
  <c r="L71" i="4"/>
  <c r="K71" i="4"/>
  <c r="J71" i="4"/>
  <c r="J73" i="4" s="1"/>
  <c r="I71" i="4"/>
  <c r="I73" i="4" s="1"/>
  <c r="H71" i="4"/>
  <c r="H73" i="4" s="1"/>
  <c r="G71" i="4"/>
  <c r="G73" i="4" s="1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AB66" i="4"/>
  <c r="AA66" i="4"/>
  <c r="Z66" i="4"/>
  <c r="Y66" i="4"/>
  <c r="X66" i="4"/>
  <c r="W66" i="4"/>
  <c r="V66" i="4"/>
  <c r="R66" i="4"/>
  <c r="Q66" i="4"/>
  <c r="P66" i="4"/>
  <c r="O66" i="4"/>
  <c r="N66" i="4"/>
  <c r="M66" i="4"/>
  <c r="L66" i="4"/>
  <c r="K66" i="4"/>
  <c r="J66" i="4"/>
  <c r="J68" i="4" s="1"/>
  <c r="I66" i="4"/>
  <c r="I68" i="4" s="1"/>
  <c r="H66" i="4"/>
  <c r="H68" i="4" s="1"/>
  <c r="G66" i="4"/>
  <c r="G68" i="4" s="1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AB61" i="4"/>
  <c r="AA61" i="4"/>
  <c r="Z61" i="4"/>
  <c r="Y61" i="4"/>
  <c r="X61" i="4"/>
  <c r="W61" i="4"/>
  <c r="V61" i="4"/>
  <c r="R61" i="4"/>
  <c r="Q61" i="4"/>
  <c r="P61" i="4"/>
  <c r="O61" i="4"/>
  <c r="N61" i="4"/>
  <c r="M61" i="4"/>
  <c r="L61" i="4"/>
  <c r="K61" i="4"/>
  <c r="J61" i="4"/>
  <c r="J63" i="4" s="1"/>
  <c r="I61" i="4"/>
  <c r="I63" i="4" s="1"/>
  <c r="H61" i="4"/>
  <c r="H63" i="4" s="1"/>
  <c r="G61" i="4"/>
  <c r="G63" i="4" s="1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AB56" i="4"/>
  <c r="AA56" i="4"/>
  <c r="Z56" i="4"/>
  <c r="Y56" i="4"/>
  <c r="X56" i="4"/>
  <c r="W56" i="4"/>
  <c r="V56" i="4"/>
  <c r="R56" i="4"/>
  <c r="Q56" i="4"/>
  <c r="P56" i="4"/>
  <c r="O56" i="4"/>
  <c r="N56" i="4"/>
  <c r="M56" i="4"/>
  <c r="L56" i="4"/>
  <c r="K56" i="4"/>
  <c r="J56" i="4"/>
  <c r="J58" i="4" s="1"/>
  <c r="I56" i="4"/>
  <c r="I58" i="4" s="1"/>
  <c r="H56" i="4"/>
  <c r="H58" i="4" s="1"/>
  <c r="G56" i="4"/>
  <c r="G58" i="4" s="1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AB51" i="4"/>
  <c r="AA51" i="4"/>
  <c r="Z51" i="4"/>
  <c r="Y51" i="4"/>
  <c r="X51" i="4"/>
  <c r="W51" i="4"/>
  <c r="V51" i="4"/>
  <c r="R51" i="4"/>
  <c r="Q51" i="4"/>
  <c r="P51" i="4"/>
  <c r="O51" i="4"/>
  <c r="N51" i="4"/>
  <c r="M51" i="4"/>
  <c r="L51" i="4"/>
  <c r="K51" i="4"/>
  <c r="J51" i="4"/>
  <c r="J53" i="4" s="1"/>
  <c r="I51" i="4"/>
  <c r="I53" i="4" s="1"/>
  <c r="H51" i="4"/>
  <c r="H53" i="4" s="1"/>
  <c r="G51" i="4"/>
  <c r="G53" i="4" s="1"/>
  <c r="AB48" i="4"/>
  <c r="AA48" i="4"/>
  <c r="Z48" i="4"/>
  <c r="Y48" i="4"/>
  <c r="X48" i="4"/>
  <c r="W48" i="4"/>
  <c r="V48" i="4"/>
  <c r="R48" i="4"/>
  <c r="Q48" i="4"/>
  <c r="P48" i="4"/>
  <c r="O48" i="4"/>
  <c r="N48" i="4"/>
  <c r="M48" i="4"/>
  <c r="L48" i="4"/>
  <c r="K48" i="4"/>
  <c r="J48" i="4"/>
  <c r="I48" i="4"/>
  <c r="H48" i="4"/>
  <c r="G48" i="4"/>
  <c r="AB45" i="4"/>
  <c r="AA45" i="4"/>
  <c r="Z45" i="4"/>
  <c r="Y45" i="4"/>
  <c r="X45" i="4"/>
  <c r="W45" i="4"/>
  <c r="V45" i="4"/>
  <c r="R45" i="4"/>
  <c r="Q45" i="4"/>
  <c r="P45" i="4"/>
  <c r="O45" i="4"/>
  <c r="N45" i="4"/>
  <c r="M45" i="4"/>
  <c r="L45" i="4"/>
  <c r="K45" i="4"/>
  <c r="J45" i="4"/>
  <c r="I45" i="4"/>
  <c r="H45" i="4"/>
  <c r="G45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B40" i="4"/>
  <c r="AA40" i="4"/>
  <c r="Z40" i="4"/>
  <c r="Y40" i="4"/>
  <c r="X40" i="4"/>
  <c r="W40" i="4"/>
  <c r="W42" i="4" s="1"/>
  <c r="B33" i="2" s="1"/>
  <c r="R40" i="4"/>
  <c r="Q40" i="4"/>
  <c r="P40" i="4"/>
  <c r="O40" i="4"/>
  <c r="N40" i="4"/>
  <c r="M40" i="4"/>
  <c r="L40" i="4"/>
  <c r="K40" i="4"/>
  <c r="J40" i="4"/>
  <c r="J42" i="4" s="1"/>
  <c r="C41" i="1" s="1"/>
  <c r="I40" i="4"/>
  <c r="I42" i="4" s="1"/>
  <c r="B41" i="1" s="1"/>
  <c r="H40" i="4"/>
  <c r="H42" i="4" s="1"/>
  <c r="G40" i="4"/>
  <c r="G42" i="4" s="1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B35" i="4"/>
  <c r="AA35" i="4"/>
  <c r="Z35" i="4"/>
  <c r="Y35" i="4"/>
  <c r="X35" i="4"/>
  <c r="W35" i="4"/>
  <c r="V35" i="4"/>
  <c r="V155" i="4" s="1"/>
  <c r="V156" i="4" s="1"/>
  <c r="R35" i="4"/>
  <c r="Q35" i="4"/>
  <c r="P35" i="4"/>
  <c r="O35" i="4"/>
  <c r="N35" i="4"/>
  <c r="M35" i="4"/>
  <c r="L35" i="4"/>
  <c r="K35" i="4"/>
  <c r="J35" i="4"/>
  <c r="I35" i="4"/>
  <c r="H35" i="4"/>
  <c r="G35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AB30" i="4"/>
  <c r="AA30" i="4"/>
  <c r="Z30" i="4"/>
  <c r="Y30" i="4"/>
  <c r="X30" i="4"/>
  <c r="W30" i="4"/>
  <c r="V30" i="4"/>
  <c r="R30" i="4"/>
  <c r="Q30" i="4"/>
  <c r="P30" i="4"/>
  <c r="O30" i="4"/>
  <c r="N30" i="4"/>
  <c r="M30" i="4"/>
  <c r="L30" i="4"/>
  <c r="K30" i="4"/>
  <c r="J30" i="4"/>
  <c r="J32" i="4" s="1"/>
  <c r="C33" i="1" s="1"/>
  <c r="I30" i="4"/>
  <c r="I32" i="4" s="1"/>
  <c r="B33" i="1" s="1"/>
  <c r="H30" i="4"/>
  <c r="H32" i="4" s="1"/>
  <c r="G30" i="4"/>
  <c r="G32" i="4" s="1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B25" i="4"/>
  <c r="AA25" i="4"/>
  <c r="Z25" i="4"/>
  <c r="Y25" i="4"/>
  <c r="X25" i="4"/>
  <c r="W25" i="4"/>
  <c r="V25" i="4"/>
  <c r="R25" i="4"/>
  <c r="Q25" i="4"/>
  <c r="P25" i="4"/>
  <c r="O25" i="4"/>
  <c r="N25" i="4"/>
  <c r="M25" i="4"/>
  <c r="L25" i="4"/>
  <c r="K25" i="4"/>
  <c r="J25" i="4"/>
  <c r="J27" i="4" s="1"/>
  <c r="C28" i="1" s="1"/>
  <c r="I25" i="4"/>
  <c r="I27" i="4" s="1"/>
  <c r="B28" i="1" s="1"/>
  <c r="H25" i="4"/>
  <c r="H27" i="4" s="1"/>
  <c r="G25" i="4"/>
  <c r="G27" i="4" s="1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B20" i="4"/>
  <c r="AA20" i="4"/>
  <c r="Z20" i="4"/>
  <c r="Y20" i="4"/>
  <c r="X20" i="4"/>
  <c r="W20" i="4"/>
  <c r="V20" i="4"/>
  <c r="R20" i="4"/>
  <c r="Q20" i="4"/>
  <c r="P20" i="4"/>
  <c r="O20" i="4"/>
  <c r="N20" i="4"/>
  <c r="M20" i="4"/>
  <c r="L20" i="4"/>
  <c r="K20" i="4"/>
  <c r="J20" i="4"/>
  <c r="J22" i="4" s="1"/>
  <c r="C24" i="1" s="1"/>
  <c r="I20" i="4"/>
  <c r="I22" i="4" s="1"/>
  <c r="B24" i="1" s="1"/>
  <c r="H20" i="4"/>
  <c r="H22" i="4" s="1"/>
  <c r="G20" i="4"/>
  <c r="G22" i="4" s="1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B15" i="4"/>
  <c r="AA15" i="4"/>
  <c r="Z15" i="4"/>
  <c r="Y15" i="4"/>
  <c r="X15" i="4"/>
  <c r="W15" i="4"/>
  <c r="V15" i="4"/>
  <c r="R15" i="4"/>
  <c r="Q15" i="4"/>
  <c r="P15" i="4"/>
  <c r="O15" i="4"/>
  <c r="N15" i="4"/>
  <c r="M15" i="4"/>
  <c r="L15" i="4"/>
  <c r="K15" i="4"/>
  <c r="J15" i="4"/>
  <c r="J17" i="4" s="1"/>
  <c r="C18" i="1" s="1"/>
  <c r="I15" i="4"/>
  <c r="I17" i="4" s="1"/>
  <c r="B18" i="1" s="1"/>
  <c r="H15" i="4"/>
  <c r="H17" i="4" s="1"/>
  <c r="G15" i="4"/>
  <c r="G17" i="4" s="1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B10" i="4"/>
  <c r="AA10" i="4"/>
  <c r="Z10" i="4"/>
  <c r="Y10" i="4"/>
  <c r="X10" i="4"/>
  <c r="W10" i="4"/>
  <c r="V10" i="4"/>
  <c r="R10" i="4"/>
  <c r="Q10" i="4"/>
  <c r="P10" i="4"/>
  <c r="O10" i="4"/>
  <c r="N10" i="4"/>
  <c r="M10" i="4"/>
  <c r="L10" i="4"/>
  <c r="K10" i="4"/>
  <c r="J10" i="4"/>
  <c r="J12" i="4" s="1"/>
  <c r="C13" i="1" s="1"/>
  <c r="I10" i="4"/>
  <c r="I12" i="4" s="1"/>
  <c r="B13" i="1" s="1"/>
  <c r="H10" i="4"/>
  <c r="H12" i="4" s="1"/>
  <c r="G10" i="4"/>
  <c r="G12" i="4" s="1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B5" i="4"/>
  <c r="AA5" i="4"/>
  <c r="Z5" i="4"/>
  <c r="Y5" i="4"/>
  <c r="X5" i="4"/>
  <c r="W5" i="4"/>
  <c r="V5" i="4"/>
  <c r="R5" i="4"/>
  <c r="Q5" i="4"/>
  <c r="P5" i="4"/>
  <c r="O5" i="4"/>
  <c r="N5" i="4"/>
  <c r="M5" i="4"/>
  <c r="L5" i="4"/>
  <c r="K5" i="4"/>
  <c r="J5" i="4"/>
  <c r="J7" i="4" s="1"/>
  <c r="C9" i="1" s="1"/>
  <c r="I5" i="4"/>
  <c r="I7" i="4" s="1"/>
  <c r="B9" i="1" s="1"/>
  <c r="H5" i="4"/>
  <c r="H7" i="4" s="1"/>
  <c r="G5" i="4"/>
  <c r="G7" i="4" s="1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74" i="2"/>
  <c r="F74" i="2"/>
  <c r="E74" i="2"/>
  <c r="D74" i="2"/>
  <c r="C74" i="2"/>
  <c r="B74" i="2"/>
  <c r="G73" i="2"/>
  <c r="F73" i="2"/>
  <c r="E73" i="2"/>
  <c r="D73" i="2"/>
  <c r="C73" i="2"/>
  <c r="B73" i="2"/>
  <c r="G71" i="2"/>
  <c r="F71" i="2"/>
  <c r="E71" i="2"/>
  <c r="D71" i="2"/>
  <c r="C71" i="2"/>
  <c r="B71" i="2"/>
  <c r="G70" i="2"/>
  <c r="F70" i="2"/>
  <c r="E70" i="2"/>
  <c r="D70" i="2"/>
  <c r="C70" i="2"/>
  <c r="B70" i="2"/>
  <c r="G68" i="2"/>
  <c r="F68" i="2"/>
  <c r="E68" i="2"/>
  <c r="D68" i="2"/>
  <c r="C68" i="2"/>
  <c r="B68" i="2"/>
  <c r="G66" i="2"/>
  <c r="F66" i="2"/>
  <c r="E66" i="2"/>
  <c r="D66" i="2"/>
  <c r="C66" i="2"/>
  <c r="B66" i="2"/>
  <c r="G64" i="2"/>
  <c r="F64" i="2"/>
  <c r="E64" i="2"/>
  <c r="D64" i="2"/>
  <c r="C64" i="2"/>
  <c r="B64" i="2"/>
  <c r="G62" i="2"/>
  <c r="F62" i="2"/>
  <c r="E62" i="2"/>
  <c r="D62" i="2"/>
  <c r="C62" i="2"/>
  <c r="B62" i="2"/>
  <c r="G60" i="2"/>
  <c r="F60" i="2"/>
  <c r="E60" i="2"/>
  <c r="D60" i="2"/>
  <c r="C60" i="2"/>
  <c r="B60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3" i="2"/>
  <c r="F53" i="2"/>
  <c r="E53" i="2"/>
  <c r="D53" i="2"/>
  <c r="C53" i="2"/>
  <c r="B53" i="2"/>
  <c r="G51" i="2"/>
  <c r="F51" i="2"/>
  <c r="E51" i="2"/>
  <c r="D51" i="2"/>
  <c r="C51" i="2"/>
  <c r="B51" i="2"/>
  <c r="G49" i="2"/>
  <c r="F49" i="2"/>
  <c r="E49" i="2"/>
  <c r="D49" i="2"/>
  <c r="C49" i="2"/>
  <c r="B49" i="2"/>
  <c r="G47" i="2"/>
  <c r="F47" i="2"/>
  <c r="E47" i="2"/>
  <c r="D47" i="2"/>
  <c r="C47" i="2"/>
  <c r="B47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2" i="2"/>
  <c r="F32" i="2"/>
  <c r="E32" i="2"/>
  <c r="D32" i="2"/>
  <c r="C32" i="2"/>
  <c r="B32" i="2"/>
  <c r="G31" i="2"/>
  <c r="F31" i="2"/>
  <c r="E31" i="2"/>
  <c r="D31" i="2"/>
  <c r="C31" i="2"/>
  <c r="B31" i="2"/>
  <c r="G29" i="2"/>
  <c r="F29" i="2"/>
  <c r="E29" i="2"/>
  <c r="D29" i="2"/>
  <c r="C29" i="2"/>
  <c r="B29" i="2"/>
  <c r="G28" i="2"/>
  <c r="F28" i="2"/>
  <c r="E28" i="2"/>
  <c r="D28" i="2"/>
  <c r="C28" i="2"/>
  <c r="B28" i="2"/>
  <c r="G26" i="2"/>
  <c r="F26" i="2"/>
  <c r="E26" i="2"/>
  <c r="D26" i="2"/>
  <c r="C26" i="2"/>
  <c r="B26" i="2"/>
  <c r="G25" i="2"/>
  <c r="F25" i="2"/>
  <c r="E25" i="2"/>
  <c r="D25" i="2"/>
  <c r="C25" i="2"/>
  <c r="B25" i="2"/>
  <c r="G22" i="2"/>
  <c r="F22" i="2"/>
  <c r="E22" i="2"/>
  <c r="D22" i="2"/>
  <c r="C22" i="2"/>
  <c r="B22" i="2"/>
  <c r="G21" i="2"/>
  <c r="F21" i="2"/>
  <c r="E21" i="2"/>
  <c r="D21" i="2"/>
  <c r="C21" i="2"/>
  <c r="B21" i="2"/>
  <c r="G19" i="2"/>
  <c r="F19" i="2"/>
  <c r="E19" i="2"/>
  <c r="D19" i="2"/>
  <c r="C19" i="2"/>
  <c r="B19" i="2"/>
  <c r="G18" i="2"/>
  <c r="F18" i="2"/>
  <c r="E18" i="2"/>
  <c r="D18" i="2"/>
  <c r="C18" i="2"/>
  <c r="B18" i="2"/>
  <c r="G16" i="2"/>
  <c r="F16" i="2"/>
  <c r="E16" i="2"/>
  <c r="D16" i="2"/>
  <c r="C16" i="2"/>
  <c r="B16" i="2"/>
  <c r="G14" i="2"/>
  <c r="F14" i="2"/>
  <c r="E14" i="2"/>
  <c r="D14" i="2"/>
  <c r="C14" i="2"/>
  <c r="B14" i="2"/>
  <c r="G13" i="2"/>
  <c r="F13" i="2"/>
  <c r="E13" i="2"/>
  <c r="D13" i="2"/>
  <c r="C13" i="2"/>
  <c r="B13" i="2"/>
  <c r="G10" i="2"/>
  <c r="F10" i="2"/>
  <c r="E10" i="2"/>
  <c r="D10" i="2"/>
  <c r="C10" i="2"/>
  <c r="B10" i="2"/>
  <c r="G9" i="2"/>
  <c r="F9" i="2"/>
  <c r="E9" i="2"/>
  <c r="D9" i="2"/>
  <c r="C9" i="2"/>
  <c r="B9" i="2"/>
  <c r="G7" i="2"/>
  <c r="F7" i="2"/>
  <c r="E7" i="2"/>
  <c r="D7" i="2"/>
  <c r="C7" i="2"/>
  <c r="B7" i="2"/>
  <c r="G6" i="2"/>
  <c r="F6" i="2"/>
  <c r="E6" i="2"/>
  <c r="D6" i="2"/>
  <c r="C6" i="2"/>
  <c r="B6" i="2"/>
  <c r="K95" i="1"/>
  <c r="J95" i="1"/>
  <c r="I95" i="1"/>
  <c r="H95" i="1"/>
  <c r="G95" i="1"/>
  <c r="F95" i="1"/>
  <c r="E95" i="1"/>
  <c r="D95" i="1"/>
  <c r="C95" i="1"/>
  <c r="B95" i="1"/>
  <c r="K94" i="1"/>
  <c r="J94" i="1"/>
  <c r="I94" i="1"/>
  <c r="H94" i="1"/>
  <c r="G94" i="1"/>
  <c r="F94" i="1"/>
  <c r="E94" i="1"/>
  <c r="D94" i="1"/>
  <c r="C94" i="1"/>
  <c r="B94" i="1"/>
  <c r="K93" i="1"/>
  <c r="J93" i="1"/>
  <c r="I93" i="1"/>
  <c r="H93" i="1"/>
  <c r="G93" i="1"/>
  <c r="F93" i="1"/>
  <c r="E93" i="1"/>
  <c r="D93" i="1"/>
  <c r="C93" i="1"/>
  <c r="B93" i="1"/>
  <c r="K91" i="1"/>
  <c r="J91" i="1"/>
  <c r="I91" i="1"/>
  <c r="H91" i="1"/>
  <c r="G91" i="1"/>
  <c r="F91" i="1"/>
  <c r="E91" i="1"/>
  <c r="D91" i="1"/>
  <c r="C91" i="1"/>
  <c r="B91" i="1"/>
  <c r="K90" i="1"/>
  <c r="J90" i="1"/>
  <c r="I90" i="1"/>
  <c r="H90" i="1"/>
  <c r="G90" i="1"/>
  <c r="F90" i="1"/>
  <c r="E90" i="1"/>
  <c r="D90" i="1"/>
  <c r="C90" i="1"/>
  <c r="B90" i="1"/>
  <c r="K89" i="1"/>
  <c r="J89" i="1"/>
  <c r="I89" i="1"/>
  <c r="H89" i="1"/>
  <c r="G89" i="1"/>
  <c r="F89" i="1"/>
  <c r="E89" i="1"/>
  <c r="D89" i="1"/>
  <c r="C89" i="1"/>
  <c r="B89" i="1"/>
  <c r="K86" i="1"/>
  <c r="J86" i="1"/>
  <c r="I86" i="1"/>
  <c r="H86" i="1"/>
  <c r="G86" i="1"/>
  <c r="F86" i="1"/>
  <c r="E86" i="1"/>
  <c r="D86" i="1"/>
  <c r="C86" i="1"/>
  <c r="B86" i="1"/>
  <c r="K83" i="1"/>
  <c r="J83" i="1"/>
  <c r="I83" i="1"/>
  <c r="H83" i="1"/>
  <c r="G83" i="1"/>
  <c r="F83" i="1"/>
  <c r="E83" i="1"/>
  <c r="D83" i="1"/>
  <c r="C83" i="1"/>
  <c r="B83" i="1"/>
  <c r="K80" i="1"/>
  <c r="J80" i="1"/>
  <c r="I80" i="1"/>
  <c r="H80" i="1"/>
  <c r="G80" i="1"/>
  <c r="F80" i="1"/>
  <c r="E80" i="1"/>
  <c r="D80" i="1"/>
  <c r="C80" i="1"/>
  <c r="B80" i="1"/>
  <c r="K77" i="1"/>
  <c r="J77" i="1"/>
  <c r="I77" i="1"/>
  <c r="H77" i="1"/>
  <c r="G77" i="1"/>
  <c r="F77" i="1"/>
  <c r="E77" i="1"/>
  <c r="D77" i="1"/>
  <c r="C77" i="1"/>
  <c r="B77" i="1"/>
  <c r="K74" i="1"/>
  <c r="J74" i="1"/>
  <c r="I74" i="1"/>
  <c r="H74" i="1"/>
  <c r="G74" i="1"/>
  <c r="F74" i="1"/>
  <c r="E74" i="1"/>
  <c r="D74" i="1"/>
  <c r="C74" i="1"/>
  <c r="B74" i="1"/>
  <c r="K72" i="1"/>
  <c r="J72" i="1"/>
  <c r="I72" i="1"/>
  <c r="H72" i="1"/>
  <c r="G72" i="1"/>
  <c r="F72" i="1"/>
  <c r="E72" i="1"/>
  <c r="D72" i="1"/>
  <c r="C72" i="1"/>
  <c r="B72" i="1"/>
  <c r="K71" i="1"/>
  <c r="J71" i="1"/>
  <c r="I71" i="1"/>
  <c r="H71" i="1"/>
  <c r="G71" i="1"/>
  <c r="F71" i="1"/>
  <c r="E71" i="1"/>
  <c r="D71" i="1"/>
  <c r="C71" i="1"/>
  <c r="B71" i="1"/>
  <c r="K70" i="1"/>
  <c r="J70" i="1"/>
  <c r="I70" i="1"/>
  <c r="H70" i="1"/>
  <c r="G70" i="1"/>
  <c r="F70" i="1"/>
  <c r="E70" i="1"/>
  <c r="D70" i="1"/>
  <c r="C70" i="1"/>
  <c r="B70" i="1"/>
  <c r="K69" i="1"/>
  <c r="J69" i="1"/>
  <c r="I69" i="1"/>
  <c r="H69" i="1"/>
  <c r="G69" i="1"/>
  <c r="F69" i="1"/>
  <c r="E69" i="1"/>
  <c r="D69" i="1"/>
  <c r="C69" i="1"/>
  <c r="B69" i="1"/>
  <c r="K68" i="1"/>
  <c r="J68" i="1"/>
  <c r="I68" i="1"/>
  <c r="H68" i="1"/>
  <c r="G68" i="1"/>
  <c r="F68" i="1"/>
  <c r="E68" i="1"/>
  <c r="D68" i="1"/>
  <c r="C68" i="1"/>
  <c r="B68" i="1"/>
  <c r="K67" i="1"/>
  <c r="J67" i="1"/>
  <c r="I67" i="1"/>
  <c r="H67" i="1"/>
  <c r="G67" i="1"/>
  <c r="F67" i="1"/>
  <c r="E67" i="1"/>
  <c r="D67" i="1"/>
  <c r="C67" i="1"/>
  <c r="B67" i="1"/>
  <c r="K64" i="1"/>
  <c r="J64" i="1"/>
  <c r="I64" i="1"/>
  <c r="H64" i="1"/>
  <c r="G64" i="1"/>
  <c r="F64" i="1"/>
  <c r="E64" i="1"/>
  <c r="D64" i="1"/>
  <c r="C64" i="1"/>
  <c r="B64" i="1"/>
  <c r="K61" i="1"/>
  <c r="J61" i="1"/>
  <c r="I61" i="1"/>
  <c r="H61" i="1"/>
  <c r="G61" i="1"/>
  <c r="F61" i="1"/>
  <c r="E61" i="1"/>
  <c r="D61" i="1"/>
  <c r="C61" i="1"/>
  <c r="B61" i="1"/>
  <c r="K58" i="1"/>
  <c r="J58" i="1"/>
  <c r="I58" i="1"/>
  <c r="H58" i="1"/>
  <c r="G58" i="1"/>
  <c r="F58" i="1"/>
  <c r="E58" i="1"/>
  <c r="D58" i="1"/>
  <c r="C58" i="1"/>
  <c r="B58" i="1"/>
  <c r="K55" i="1"/>
  <c r="J55" i="1"/>
  <c r="I55" i="1"/>
  <c r="H55" i="1"/>
  <c r="G55" i="1"/>
  <c r="F55" i="1"/>
  <c r="E55" i="1"/>
  <c r="D55" i="1"/>
  <c r="C55" i="1"/>
  <c r="B55" i="1"/>
  <c r="K51" i="1"/>
  <c r="J51" i="1"/>
  <c r="I51" i="1"/>
  <c r="H51" i="1"/>
  <c r="G51" i="1"/>
  <c r="F51" i="1"/>
  <c r="E51" i="1"/>
  <c r="D51" i="1"/>
  <c r="C51" i="1"/>
  <c r="B51" i="1"/>
  <c r="K50" i="1"/>
  <c r="J50" i="1"/>
  <c r="I50" i="1"/>
  <c r="H50" i="1"/>
  <c r="G50" i="1"/>
  <c r="F50" i="1"/>
  <c r="E50" i="1"/>
  <c r="D50" i="1"/>
  <c r="C50" i="1"/>
  <c r="B50" i="1"/>
  <c r="K49" i="1"/>
  <c r="J49" i="1"/>
  <c r="I49" i="1"/>
  <c r="H49" i="1"/>
  <c r="G49" i="1"/>
  <c r="F49" i="1"/>
  <c r="E49" i="1"/>
  <c r="D49" i="1"/>
  <c r="C49" i="1"/>
  <c r="B49" i="1"/>
  <c r="K48" i="1"/>
  <c r="J48" i="1"/>
  <c r="I48" i="1"/>
  <c r="H48" i="1"/>
  <c r="G48" i="1"/>
  <c r="F48" i="1"/>
  <c r="E48" i="1"/>
  <c r="D48" i="1"/>
  <c r="C48" i="1"/>
  <c r="B48" i="1"/>
  <c r="K46" i="1"/>
  <c r="J46" i="1"/>
  <c r="I46" i="1"/>
  <c r="H46" i="1"/>
  <c r="G46" i="1"/>
  <c r="F46" i="1"/>
  <c r="E46" i="1"/>
  <c r="D46" i="1"/>
  <c r="C46" i="1"/>
  <c r="B46" i="1"/>
  <c r="K45" i="1"/>
  <c r="J45" i="1"/>
  <c r="I45" i="1"/>
  <c r="H45" i="1"/>
  <c r="G45" i="1"/>
  <c r="F45" i="1"/>
  <c r="E45" i="1"/>
  <c r="D45" i="1"/>
  <c r="C45" i="1"/>
  <c r="B45" i="1"/>
  <c r="K44" i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40" i="1"/>
  <c r="J40" i="1"/>
  <c r="I40" i="1"/>
  <c r="H40" i="1"/>
  <c r="G40" i="1"/>
  <c r="F40" i="1"/>
  <c r="E40" i="1"/>
  <c r="D40" i="1"/>
  <c r="C40" i="1"/>
  <c r="B40" i="1"/>
  <c r="K39" i="1"/>
  <c r="J39" i="1"/>
  <c r="I39" i="1"/>
  <c r="H39" i="1"/>
  <c r="G39" i="1"/>
  <c r="F39" i="1"/>
  <c r="E39" i="1"/>
  <c r="D39" i="1"/>
  <c r="C39" i="1"/>
  <c r="B39" i="1"/>
  <c r="K38" i="1"/>
  <c r="J38" i="1"/>
  <c r="I38" i="1"/>
  <c r="H38" i="1"/>
  <c r="G38" i="1"/>
  <c r="F38" i="1"/>
  <c r="E38" i="1"/>
  <c r="D38" i="1"/>
  <c r="C38" i="1"/>
  <c r="B38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32" i="1"/>
  <c r="J32" i="1"/>
  <c r="I32" i="1"/>
  <c r="H32" i="1"/>
  <c r="G32" i="1"/>
  <c r="F32" i="1"/>
  <c r="E32" i="1"/>
  <c r="D32" i="1"/>
  <c r="C32" i="1"/>
  <c r="B32" i="1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7" i="1"/>
  <c r="J27" i="1"/>
  <c r="I27" i="1"/>
  <c r="H27" i="1"/>
  <c r="G27" i="1"/>
  <c r="F27" i="1"/>
  <c r="E27" i="1"/>
  <c r="D27" i="1"/>
  <c r="C27" i="1"/>
  <c r="B27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  <c r="K19" i="1"/>
  <c r="J19" i="1"/>
  <c r="I19" i="1"/>
  <c r="H19" i="1"/>
  <c r="G19" i="1"/>
  <c r="F19" i="1"/>
  <c r="E19" i="1"/>
  <c r="D19" i="1"/>
  <c r="C19" i="1"/>
  <c r="B19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K15" i="1"/>
  <c r="J15" i="1"/>
  <c r="I15" i="1"/>
  <c r="H15" i="1"/>
  <c r="G15" i="1"/>
  <c r="F15" i="1"/>
  <c r="E15" i="1"/>
  <c r="D15" i="1"/>
  <c r="C15" i="1"/>
  <c r="B15" i="1"/>
  <c r="K12" i="1"/>
  <c r="J12" i="1"/>
  <c r="I12" i="1"/>
  <c r="H12" i="1"/>
  <c r="G12" i="1"/>
  <c r="F12" i="1"/>
  <c r="E12" i="1"/>
  <c r="D12" i="1"/>
  <c r="C12" i="1"/>
  <c r="B12" i="1"/>
  <c r="K11" i="1"/>
  <c r="J11" i="1"/>
  <c r="I11" i="1"/>
  <c r="H11" i="1"/>
  <c r="G11" i="1"/>
  <c r="F11" i="1"/>
  <c r="E11" i="1"/>
  <c r="D11" i="1"/>
  <c r="C11" i="1"/>
  <c r="B11" i="1"/>
  <c r="K10" i="1"/>
  <c r="J10" i="1"/>
  <c r="I10" i="1"/>
  <c r="H10" i="1"/>
  <c r="G10" i="1"/>
  <c r="F10" i="1"/>
  <c r="E10" i="1"/>
  <c r="D10" i="1"/>
  <c r="C10" i="1"/>
  <c r="B10" i="1"/>
  <c r="K8" i="1"/>
  <c r="J8" i="1"/>
  <c r="I8" i="1"/>
  <c r="H8" i="1"/>
  <c r="G8" i="1"/>
  <c r="F8" i="1"/>
  <c r="E8" i="1"/>
  <c r="D8" i="1"/>
  <c r="C8" i="1"/>
  <c r="B8" i="1"/>
  <c r="K7" i="1"/>
  <c r="J7" i="1"/>
  <c r="I7" i="1"/>
  <c r="H7" i="1"/>
  <c r="G7" i="1"/>
  <c r="F7" i="1"/>
  <c r="E7" i="1"/>
  <c r="D7" i="1"/>
  <c r="C7" i="1"/>
  <c r="B7" i="1"/>
  <c r="K6" i="1"/>
  <c r="J6" i="1"/>
  <c r="I6" i="1"/>
  <c r="H6" i="1"/>
  <c r="G6" i="1"/>
  <c r="F6" i="1"/>
  <c r="E6" i="1"/>
  <c r="D6" i="1"/>
  <c r="C6" i="1"/>
  <c r="B6" i="1"/>
  <c r="H127" i="4" l="1"/>
  <c r="G127" i="4"/>
  <c r="AB124" i="4"/>
  <c r="G52" i="2" s="1"/>
  <c r="AA124" i="4"/>
  <c r="F52" i="2" s="1"/>
  <c r="Z124" i="4"/>
  <c r="E52" i="2" s="1"/>
  <c r="Y124" i="4"/>
  <c r="D52" i="2" s="1"/>
  <c r="X124" i="4"/>
  <c r="C52" i="2" s="1"/>
  <c r="W124" i="4"/>
  <c r="B52" i="2" s="1"/>
  <c r="V124" i="4"/>
  <c r="F125" i="4"/>
  <c r="E125" i="4"/>
  <c r="D125" i="4"/>
  <c r="AB121" i="4"/>
  <c r="G50" i="2" s="1"/>
  <c r="AA121" i="4"/>
  <c r="F50" i="2" s="1"/>
  <c r="Z121" i="4"/>
  <c r="E50" i="2" s="1"/>
  <c r="Y121" i="4"/>
  <c r="D50" i="2" s="1"/>
  <c r="X121" i="4"/>
  <c r="C50" i="2" s="1"/>
  <c r="W121" i="4"/>
  <c r="B50" i="2" s="1"/>
  <c r="V121" i="4"/>
  <c r="F122" i="4"/>
  <c r="E122" i="4"/>
  <c r="D122" i="4"/>
  <c r="AB118" i="4"/>
  <c r="G48" i="2" s="1"/>
  <c r="AA118" i="4"/>
  <c r="F48" i="2" s="1"/>
  <c r="Z118" i="4"/>
  <c r="E48" i="2" s="1"/>
  <c r="Y118" i="4"/>
  <c r="D48" i="2" s="1"/>
  <c r="X118" i="4"/>
  <c r="C48" i="2" s="1"/>
  <c r="W118" i="4"/>
  <c r="B48" i="2" s="1"/>
  <c r="V118" i="4"/>
  <c r="F119" i="4"/>
  <c r="E119" i="4"/>
  <c r="D119" i="4"/>
  <c r="AB94" i="4"/>
  <c r="G75" i="2" s="1"/>
  <c r="AA94" i="4"/>
  <c r="F75" i="2" s="1"/>
  <c r="Z94" i="4"/>
  <c r="E75" i="2" s="1"/>
  <c r="Y94" i="4"/>
  <c r="D75" i="2" s="1"/>
  <c r="X94" i="4"/>
  <c r="C75" i="2" s="1"/>
  <c r="R94" i="4"/>
  <c r="K96" i="1" s="1"/>
  <c r="Q94" i="4"/>
  <c r="J96" i="1" s="1"/>
  <c r="P94" i="4"/>
  <c r="I96" i="1" s="1"/>
  <c r="O94" i="4"/>
  <c r="H96" i="1" s="1"/>
  <c r="N94" i="4"/>
  <c r="G96" i="1" s="1"/>
  <c r="M94" i="4"/>
  <c r="F96" i="1" s="1"/>
  <c r="L94" i="4"/>
  <c r="E96" i="1" s="1"/>
  <c r="K94" i="4"/>
  <c r="D96" i="1" s="1"/>
  <c r="AB83" i="4"/>
  <c r="AA83" i="4"/>
  <c r="Z83" i="4"/>
  <c r="Y83" i="4"/>
  <c r="X83" i="4"/>
  <c r="W83" i="4"/>
  <c r="R83" i="4"/>
  <c r="Q83" i="4"/>
  <c r="P83" i="4"/>
  <c r="O83" i="4"/>
  <c r="N83" i="4"/>
  <c r="M83" i="4"/>
  <c r="L83" i="4"/>
  <c r="K83" i="4"/>
  <c r="AB78" i="4"/>
  <c r="AA78" i="4"/>
  <c r="Z78" i="4"/>
  <c r="Y78" i="4"/>
  <c r="X78" i="4"/>
  <c r="W78" i="4"/>
  <c r="R78" i="4"/>
  <c r="Q78" i="4"/>
  <c r="P78" i="4"/>
  <c r="O78" i="4"/>
  <c r="N78" i="4"/>
  <c r="M78" i="4"/>
  <c r="L78" i="4"/>
  <c r="K78" i="4"/>
  <c r="AB73" i="4"/>
  <c r="AA73" i="4"/>
  <c r="Z73" i="4"/>
  <c r="Y73" i="4"/>
  <c r="X73" i="4"/>
  <c r="W73" i="4"/>
  <c r="R73" i="4"/>
  <c r="Q73" i="4"/>
  <c r="P73" i="4"/>
  <c r="O73" i="4"/>
  <c r="N73" i="4"/>
  <c r="M73" i="4"/>
  <c r="L73" i="4"/>
  <c r="K73" i="4"/>
  <c r="AB68" i="4"/>
  <c r="AA68" i="4"/>
  <c r="Z68" i="4"/>
  <c r="Y68" i="4"/>
  <c r="X68" i="4"/>
  <c r="W68" i="4"/>
  <c r="R68" i="4"/>
  <c r="Q68" i="4"/>
  <c r="P68" i="4"/>
  <c r="O68" i="4"/>
  <c r="N68" i="4"/>
  <c r="M68" i="4"/>
  <c r="L68" i="4"/>
  <c r="K68" i="4"/>
  <c r="AB63" i="4"/>
  <c r="AA63" i="4"/>
  <c r="Z63" i="4"/>
  <c r="Y63" i="4"/>
  <c r="X63" i="4"/>
  <c r="W63" i="4"/>
  <c r="R63" i="4"/>
  <c r="Q63" i="4"/>
  <c r="P63" i="4"/>
  <c r="O63" i="4"/>
  <c r="N63" i="4"/>
  <c r="M63" i="4"/>
  <c r="L63" i="4"/>
  <c r="K63" i="4"/>
  <c r="AB58" i="4"/>
  <c r="AA58" i="4"/>
  <c r="Z58" i="4"/>
  <c r="Y58" i="4"/>
  <c r="X58" i="4"/>
  <c r="W58" i="4"/>
  <c r="R58" i="4"/>
  <c r="Q58" i="4"/>
  <c r="P58" i="4"/>
  <c r="O58" i="4"/>
  <c r="N58" i="4"/>
  <c r="M58" i="4"/>
  <c r="L58" i="4"/>
  <c r="K58" i="4"/>
  <c r="AB53" i="4"/>
  <c r="AA53" i="4"/>
  <c r="Z53" i="4"/>
  <c r="Y53" i="4"/>
  <c r="X53" i="4"/>
  <c r="W53" i="4"/>
  <c r="R53" i="4"/>
  <c r="Q53" i="4"/>
  <c r="P53" i="4"/>
  <c r="O53" i="4"/>
  <c r="N53" i="4"/>
  <c r="M53" i="4"/>
  <c r="L53" i="4"/>
  <c r="K53" i="4"/>
  <c r="AB42" i="4"/>
  <c r="G33" i="2" s="1"/>
  <c r="AA42" i="4"/>
  <c r="F33" i="2" s="1"/>
  <c r="Z42" i="4"/>
  <c r="E33" i="2" s="1"/>
  <c r="Y42" i="4"/>
  <c r="D33" i="2" s="1"/>
  <c r="X42" i="4"/>
  <c r="C33" i="2" s="1"/>
  <c r="R42" i="4"/>
  <c r="K41" i="1" s="1"/>
  <c r="Q42" i="4"/>
  <c r="J41" i="1" s="1"/>
  <c r="P42" i="4"/>
  <c r="I41" i="1" s="1"/>
  <c r="O42" i="4"/>
  <c r="H41" i="1" s="1"/>
  <c r="N42" i="4"/>
  <c r="G41" i="1" s="1"/>
  <c r="M42" i="4"/>
  <c r="F41" i="1" s="1"/>
  <c r="L42" i="4"/>
  <c r="E41" i="1" s="1"/>
  <c r="K42" i="4"/>
  <c r="D41" i="1" s="1"/>
  <c r="AB32" i="4"/>
  <c r="G27" i="2" s="1"/>
  <c r="AA32" i="4"/>
  <c r="F27" i="2" s="1"/>
  <c r="Z32" i="4"/>
  <c r="E27" i="2" s="1"/>
  <c r="Y32" i="4"/>
  <c r="D27" i="2" s="1"/>
  <c r="X32" i="4"/>
  <c r="C27" i="2" s="1"/>
  <c r="W32" i="4"/>
  <c r="B27" i="2" s="1"/>
  <c r="R32" i="4"/>
  <c r="K33" i="1" s="1"/>
  <c r="Q32" i="4"/>
  <c r="J33" i="1" s="1"/>
  <c r="P32" i="4"/>
  <c r="I33" i="1" s="1"/>
  <c r="O32" i="4"/>
  <c r="H33" i="1" s="1"/>
  <c r="N32" i="4"/>
  <c r="G33" i="1" s="1"/>
  <c r="M32" i="4"/>
  <c r="F33" i="1" s="1"/>
  <c r="L32" i="4"/>
  <c r="E33" i="1" s="1"/>
  <c r="K32" i="4"/>
  <c r="D33" i="1" s="1"/>
  <c r="AB27" i="4"/>
  <c r="G23" i="2" s="1"/>
  <c r="AA27" i="4"/>
  <c r="F23" i="2" s="1"/>
  <c r="Z27" i="4"/>
  <c r="E23" i="2" s="1"/>
  <c r="Y27" i="4"/>
  <c r="D23" i="2" s="1"/>
  <c r="X27" i="4"/>
  <c r="C23" i="2" s="1"/>
  <c r="W27" i="4"/>
  <c r="B23" i="2" s="1"/>
  <c r="R27" i="4"/>
  <c r="K28" i="1" s="1"/>
  <c r="Q27" i="4"/>
  <c r="J28" i="1" s="1"/>
  <c r="P27" i="4"/>
  <c r="I28" i="1" s="1"/>
  <c r="O27" i="4"/>
  <c r="H28" i="1" s="1"/>
  <c r="N27" i="4"/>
  <c r="G28" i="1" s="1"/>
  <c r="M27" i="4"/>
  <c r="F28" i="1" s="1"/>
  <c r="L27" i="4"/>
  <c r="E28" i="1" s="1"/>
  <c r="K27" i="4"/>
  <c r="D28" i="1" s="1"/>
  <c r="AB22" i="4"/>
  <c r="G20" i="2" s="1"/>
  <c r="AA22" i="4"/>
  <c r="F20" i="2" s="1"/>
  <c r="Z22" i="4"/>
  <c r="E20" i="2" s="1"/>
  <c r="Y22" i="4"/>
  <c r="D20" i="2" s="1"/>
  <c r="X22" i="4"/>
  <c r="C20" i="2" s="1"/>
  <c r="W22" i="4"/>
  <c r="B20" i="2" s="1"/>
  <c r="R22" i="4"/>
  <c r="K24" i="1" s="1"/>
  <c r="Q22" i="4"/>
  <c r="J24" i="1" s="1"/>
  <c r="P22" i="4"/>
  <c r="I24" i="1" s="1"/>
  <c r="O22" i="4"/>
  <c r="H24" i="1" s="1"/>
  <c r="N22" i="4"/>
  <c r="G24" i="1" s="1"/>
  <c r="M22" i="4"/>
  <c r="F24" i="1" s="1"/>
  <c r="L22" i="4"/>
  <c r="E24" i="1" s="1"/>
  <c r="K22" i="4"/>
  <c r="D24" i="1" s="1"/>
  <c r="AB17" i="4"/>
  <c r="G15" i="2" s="1"/>
  <c r="AA17" i="4"/>
  <c r="F15" i="2" s="1"/>
  <c r="Z17" i="4"/>
  <c r="E15" i="2" s="1"/>
  <c r="Y17" i="4"/>
  <c r="D15" i="2" s="1"/>
  <c r="X17" i="4"/>
  <c r="C15" i="2" s="1"/>
  <c r="W17" i="4"/>
  <c r="B15" i="2" s="1"/>
  <c r="R17" i="4"/>
  <c r="K18" i="1" s="1"/>
  <c r="Q17" i="4"/>
  <c r="J18" i="1" s="1"/>
  <c r="P17" i="4"/>
  <c r="I18" i="1" s="1"/>
  <c r="O17" i="4"/>
  <c r="H18" i="1" s="1"/>
  <c r="N17" i="4"/>
  <c r="G18" i="1" s="1"/>
  <c r="M17" i="4"/>
  <c r="F18" i="1" s="1"/>
  <c r="L17" i="4"/>
  <c r="E18" i="1" s="1"/>
  <c r="K17" i="4"/>
  <c r="D18" i="1" s="1"/>
  <c r="AB12" i="4"/>
  <c r="G11" i="2" s="1"/>
  <c r="AA12" i="4"/>
  <c r="F11" i="2" s="1"/>
  <c r="Z12" i="4"/>
  <c r="E11" i="2" s="1"/>
  <c r="Y12" i="4"/>
  <c r="D11" i="2" s="1"/>
  <c r="X12" i="4"/>
  <c r="C11" i="2" s="1"/>
  <c r="W12" i="4"/>
  <c r="B11" i="2" s="1"/>
  <c r="R12" i="4"/>
  <c r="K13" i="1" s="1"/>
  <c r="Q12" i="4"/>
  <c r="J13" i="1" s="1"/>
  <c r="P12" i="4"/>
  <c r="I13" i="1" s="1"/>
  <c r="O12" i="4"/>
  <c r="H13" i="1" s="1"/>
  <c r="N12" i="4"/>
  <c r="G13" i="1" s="1"/>
  <c r="M12" i="4"/>
  <c r="F13" i="1" s="1"/>
  <c r="L12" i="4"/>
  <c r="E13" i="1" s="1"/>
  <c r="K12" i="4"/>
  <c r="D13" i="1" s="1"/>
  <c r="AB7" i="4"/>
  <c r="G8" i="2" s="1"/>
  <c r="AA7" i="4"/>
  <c r="F8" i="2" s="1"/>
  <c r="Z7" i="4"/>
  <c r="E8" i="2" s="1"/>
  <c r="Y7" i="4"/>
  <c r="D8" i="2" s="1"/>
  <c r="X7" i="4"/>
  <c r="C8" i="2" s="1"/>
  <c r="W7" i="4"/>
  <c r="B8" i="2" s="1"/>
  <c r="R7" i="4"/>
  <c r="K9" i="1" s="1"/>
  <c r="Q7" i="4"/>
  <c r="J9" i="1" s="1"/>
  <c r="P7" i="4"/>
  <c r="I9" i="1" s="1"/>
  <c r="O7" i="4"/>
  <c r="H9" i="1" s="1"/>
  <c r="N7" i="4"/>
  <c r="G9" i="1" s="1"/>
  <c r="M7" i="4"/>
  <c r="F9" i="1" s="1"/>
  <c r="L7" i="4"/>
  <c r="E9" i="1" s="1"/>
  <c r="K7" i="4"/>
  <c r="D9" i="1" s="1"/>
  <c r="R149" i="4"/>
  <c r="K88" i="1" s="1"/>
  <c r="R148" i="4"/>
  <c r="K87" i="1" s="1"/>
  <c r="Q149" i="4"/>
  <c r="J88" i="1" s="1"/>
  <c r="Q148" i="4"/>
  <c r="J87" i="1" s="1"/>
  <c r="P149" i="4"/>
  <c r="I88" i="1" s="1"/>
  <c r="P148" i="4"/>
  <c r="I87" i="1" s="1"/>
  <c r="O149" i="4"/>
  <c r="H88" i="1" s="1"/>
  <c r="O148" i="4"/>
  <c r="H87" i="1" s="1"/>
  <c r="N149" i="4"/>
  <c r="G88" i="1" s="1"/>
  <c r="N148" i="4"/>
  <c r="G87" i="1" s="1"/>
  <c r="M149" i="4"/>
  <c r="F88" i="1" s="1"/>
  <c r="M148" i="4"/>
  <c r="F87" i="1" s="1"/>
  <c r="L148" i="4"/>
  <c r="E87" i="1" s="1"/>
  <c r="L149" i="4"/>
  <c r="E88" i="1" s="1"/>
  <c r="K149" i="4"/>
  <c r="D88" i="1" s="1"/>
  <c r="K148" i="4"/>
  <c r="D87" i="1" s="1"/>
  <c r="J149" i="4"/>
  <c r="C88" i="1" s="1"/>
  <c r="J148" i="4"/>
  <c r="C87" i="1" s="1"/>
  <c r="I149" i="4"/>
  <c r="B88" i="1" s="1"/>
  <c r="I148" i="4"/>
  <c r="B87" i="1" s="1"/>
  <c r="H149" i="4"/>
  <c r="H148" i="4"/>
  <c r="G149" i="4"/>
  <c r="G148" i="4"/>
  <c r="R146" i="4"/>
  <c r="K85" i="1" s="1"/>
  <c r="R145" i="4"/>
  <c r="K84" i="1" s="1"/>
  <c r="Q146" i="4"/>
  <c r="J85" i="1" s="1"/>
  <c r="Q145" i="4"/>
  <c r="J84" i="1" s="1"/>
  <c r="P146" i="4"/>
  <c r="I85" i="1" s="1"/>
  <c r="P145" i="4"/>
  <c r="I84" i="1" s="1"/>
  <c r="O146" i="4"/>
  <c r="H85" i="1" s="1"/>
  <c r="O145" i="4"/>
  <c r="H84" i="1" s="1"/>
  <c r="N146" i="4"/>
  <c r="G85" i="1" s="1"/>
  <c r="N145" i="4"/>
  <c r="G84" i="1" s="1"/>
  <c r="M145" i="4"/>
  <c r="F84" i="1" s="1"/>
  <c r="M146" i="4"/>
  <c r="F85" i="1" s="1"/>
  <c r="L146" i="4"/>
  <c r="E85" i="1" s="1"/>
  <c r="L145" i="4"/>
  <c r="E84" i="1" s="1"/>
  <c r="K146" i="4"/>
  <c r="D85" i="1" s="1"/>
  <c r="K145" i="4"/>
  <c r="D84" i="1" s="1"/>
  <c r="J146" i="4"/>
  <c r="C85" i="1" s="1"/>
  <c r="J145" i="4"/>
  <c r="C84" i="1" s="1"/>
  <c r="I146" i="4"/>
  <c r="B85" i="1" s="1"/>
  <c r="I145" i="4"/>
  <c r="B84" i="1" s="1"/>
  <c r="H146" i="4"/>
  <c r="H145" i="4"/>
  <c r="G146" i="4"/>
  <c r="G145" i="4"/>
  <c r="R143" i="4"/>
  <c r="K82" i="1" s="1"/>
  <c r="R142" i="4"/>
  <c r="K81" i="1" s="1"/>
  <c r="Q143" i="4"/>
  <c r="J82" i="1" s="1"/>
  <c r="Q142" i="4"/>
  <c r="J81" i="1" s="1"/>
  <c r="P143" i="4"/>
  <c r="I82" i="1" s="1"/>
  <c r="P142" i="4"/>
  <c r="I81" i="1" s="1"/>
  <c r="O143" i="4"/>
  <c r="H82" i="1" s="1"/>
  <c r="O142" i="4"/>
  <c r="H81" i="1" s="1"/>
  <c r="N143" i="4"/>
  <c r="G82" i="1" s="1"/>
  <c r="N142" i="4"/>
  <c r="G81" i="1" s="1"/>
  <c r="M143" i="4"/>
  <c r="F82" i="1" s="1"/>
  <c r="M142" i="4"/>
  <c r="F81" i="1" s="1"/>
  <c r="L143" i="4"/>
  <c r="E82" i="1" s="1"/>
  <c r="L142" i="4"/>
  <c r="E81" i="1" s="1"/>
  <c r="K142" i="4"/>
  <c r="D81" i="1" s="1"/>
  <c r="K143" i="4"/>
  <c r="D82" i="1" s="1"/>
  <c r="J142" i="4"/>
  <c r="C81" i="1" s="1"/>
  <c r="J143" i="4"/>
  <c r="C82" i="1" s="1"/>
  <c r="I142" i="4"/>
  <c r="B81" i="1" s="1"/>
  <c r="I143" i="4"/>
  <c r="B82" i="1" s="1"/>
  <c r="H142" i="4"/>
  <c r="H143" i="4"/>
  <c r="G143" i="4"/>
  <c r="G142" i="4"/>
  <c r="R140" i="4"/>
  <c r="K79" i="1" s="1"/>
  <c r="R139" i="4"/>
  <c r="K78" i="1" s="1"/>
  <c r="Q140" i="4"/>
  <c r="J79" i="1" s="1"/>
  <c r="Q139" i="4"/>
  <c r="J78" i="1" s="1"/>
  <c r="P140" i="4"/>
  <c r="I79" i="1" s="1"/>
  <c r="P139" i="4"/>
  <c r="I78" i="1" s="1"/>
  <c r="O140" i="4"/>
  <c r="H79" i="1" s="1"/>
  <c r="O139" i="4"/>
  <c r="H78" i="1" s="1"/>
  <c r="N140" i="4"/>
  <c r="G79" i="1" s="1"/>
  <c r="N139" i="4"/>
  <c r="G78" i="1" s="1"/>
  <c r="M140" i="4"/>
  <c r="F79" i="1" s="1"/>
  <c r="M139" i="4"/>
  <c r="F78" i="1" s="1"/>
  <c r="L140" i="4"/>
  <c r="E79" i="1" s="1"/>
  <c r="L139" i="4"/>
  <c r="E78" i="1" s="1"/>
  <c r="K140" i="4"/>
  <c r="D79" i="1" s="1"/>
  <c r="K139" i="4"/>
  <c r="D78" i="1" s="1"/>
  <c r="J140" i="4"/>
  <c r="C79" i="1" s="1"/>
  <c r="J139" i="4"/>
  <c r="C78" i="1" s="1"/>
  <c r="I140" i="4"/>
  <c r="B79" i="1" s="1"/>
  <c r="I139" i="4"/>
  <c r="B78" i="1" s="1"/>
  <c r="H140" i="4"/>
  <c r="H139" i="4"/>
  <c r="G140" i="4"/>
  <c r="G139" i="4"/>
  <c r="R137" i="4"/>
  <c r="K76" i="1" s="1"/>
  <c r="R136" i="4"/>
  <c r="K75" i="1" s="1"/>
  <c r="Q137" i="4"/>
  <c r="J76" i="1" s="1"/>
  <c r="Q136" i="4"/>
  <c r="J75" i="1" s="1"/>
  <c r="P137" i="4"/>
  <c r="I76" i="1" s="1"/>
  <c r="P136" i="4"/>
  <c r="I75" i="1" s="1"/>
  <c r="O137" i="4"/>
  <c r="H76" i="1" s="1"/>
  <c r="O136" i="4"/>
  <c r="H75" i="1" s="1"/>
  <c r="N137" i="4"/>
  <c r="G76" i="1" s="1"/>
  <c r="N136" i="4"/>
  <c r="G75" i="1" s="1"/>
  <c r="M137" i="4"/>
  <c r="F76" i="1" s="1"/>
  <c r="M136" i="4"/>
  <c r="F75" i="1" s="1"/>
  <c r="L137" i="4"/>
  <c r="E76" i="1" s="1"/>
  <c r="L136" i="4"/>
  <c r="E75" i="1" s="1"/>
  <c r="K137" i="4"/>
  <c r="D76" i="1" s="1"/>
  <c r="K136" i="4"/>
  <c r="D75" i="1" s="1"/>
  <c r="J137" i="4"/>
  <c r="C76" i="1" s="1"/>
  <c r="J136" i="4"/>
  <c r="C75" i="1" s="1"/>
  <c r="I137" i="4"/>
  <c r="B76" i="1" s="1"/>
  <c r="I136" i="4"/>
  <c r="B75" i="1" s="1"/>
  <c r="H137" i="4"/>
  <c r="H136" i="4"/>
  <c r="G137" i="4"/>
  <c r="G136" i="4"/>
  <c r="R128" i="4"/>
  <c r="K66" i="1" s="1"/>
  <c r="R127" i="4"/>
  <c r="K65" i="1" s="1"/>
  <c r="Q128" i="4"/>
  <c r="J66" i="1" s="1"/>
  <c r="Q127" i="4"/>
  <c r="J65" i="1" s="1"/>
  <c r="P128" i="4"/>
  <c r="I66" i="1" s="1"/>
  <c r="P127" i="4"/>
  <c r="I65" i="1" s="1"/>
  <c r="O128" i="4"/>
  <c r="H66" i="1" s="1"/>
  <c r="O127" i="4"/>
  <c r="H65" i="1" s="1"/>
  <c r="N128" i="4"/>
  <c r="G66" i="1" s="1"/>
  <c r="N127" i="4"/>
  <c r="G65" i="1" s="1"/>
  <c r="M128" i="4"/>
  <c r="F66" i="1" s="1"/>
  <c r="M127" i="4"/>
  <c r="F65" i="1" s="1"/>
  <c r="L128" i="4"/>
  <c r="E66" i="1" s="1"/>
  <c r="L127" i="4"/>
  <c r="E65" i="1" s="1"/>
  <c r="K128" i="4"/>
  <c r="D66" i="1" s="1"/>
  <c r="K127" i="4"/>
  <c r="D65" i="1" s="1"/>
  <c r="J128" i="4"/>
  <c r="C66" i="1" s="1"/>
  <c r="J127" i="4"/>
  <c r="C65" i="1" s="1"/>
  <c r="I128" i="4"/>
  <c r="B66" i="1" s="1"/>
  <c r="I127" i="4"/>
  <c r="B65" i="1" s="1"/>
  <c r="R124" i="4"/>
  <c r="K62" i="1" s="1"/>
  <c r="R125" i="4"/>
  <c r="K63" i="1" s="1"/>
  <c r="Q125" i="4"/>
  <c r="J63" i="1" s="1"/>
  <c r="Q124" i="4"/>
  <c r="J62" i="1" s="1"/>
  <c r="P125" i="4"/>
  <c r="I63" i="1" s="1"/>
  <c r="P124" i="4"/>
  <c r="I62" i="1" s="1"/>
  <c r="O125" i="4"/>
  <c r="H63" i="1" s="1"/>
  <c r="O124" i="4"/>
  <c r="H62" i="1" s="1"/>
  <c r="N124" i="4"/>
  <c r="G62" i="1" s="1"/>
  <c r="N125" i="4"/>
  <c r="G63" i="1" s="1"/>
  <c r="M124" i="4"/>
  <c r="F62" i="1" s="1"/>
  <c r="M125" i="4"/>
  <c r="F63" i="1" s="1"/>
  <c r="L125" i="4"/>
  <c r="E63" i="1" s="1"/>
  <c r="L124" i="4"/>
  <c r="E62" i="1" s="1"/>
  <c r="K124" i="4"/>
  <c r="D62" i="1" s="1"/>
  <c r="K125" i="4"/>
  <c r="D63" i="1" s="1"/>
  <c r="J124" i="4"/>
  <c r="C62" i="1" s="1"/>
  <c r="J125" i="4"/>
  <c r="C63" i="1" s="1"/>
  <c r="I124" i="4"/>
  <c r="B62" i="1" s="1"/>
  <c r="I125" i="4"/>
  <c r="B63" i="1" s="1"/>
  <c r="H124" i="4"/>
  <c r="H125" i="4"/>
  <c r="G124" i="4"/>
  <c r="G125" i="4"/>
  <c r="R121" i="4"/>
  <c r="K59" i="1" s="1"/>
  <c r="R122" i="4"/>
  <c r="K60" i="1" s="1"/>
  <c r="Q121" i="4"/>
  <c r="J59" i="1" s="1"/>
  <c r="Q122" i="4"/>
  <c r="J60" i="1" s="1"/>
  <c r="P121" i="4"/>
  <c r="I59" i="1" s="1"/>
  <c r="P122" i="4"/>
  <c r="I60" i="1" s="1"/>
  <c r="O121" i="4"/>
  <c r="H59" i="1" s="1"/>
  <c r="O122" i="4"/>
  <c r="H60" i="1" s="1"/>
  <c r="N121" i="4"/>
  <c r="G59" i="1" s="1"/>
  <c r="N122" i="4"/>
  <c r="G60" i="1" s="1"/>
  <c r="M121" i="4"/>
  <c r="F59" i="1" s="1"/>
  <c r="M122" i="4"/>
  <c r="F60" i="1" s="1"/>
  <c r="L121" i="4"/>
  <c r="E59" i="1" s="1"/>
  <c r="L122" i="4"/>
  <c r="E60" i="1" s="1"/>
  <c r="K122" i="4"/>
  <c r="D60" i="1" s="1"/>
  <c r="K121" i="4"/>
  <c r="D59" i="1" s="1"/>
  <c r="J121" i="4"/>
  <c r="C59" i="1" s="1"/>
  <c r="J122" i="4"/>
  <c r="C60" i="1" s="1"/>
  <c r="I122" i="4"/>
  <c r="B60" i="1" s="1"/>
  <c r="I121" i="4"/>
  <c r="B59" i="1" s="1"/>
  <c r="H122" i="4"/>
  <c r="H121" i="4"/>
  <c r="G122" i="4"/>
  <c r="G121" i="4"/>
  <c r="R119" i="4"/>
  <c r="K57" i="1" s="1"/>
  <c r="R118" i="4"/>
  <c r="K56" i="1" s="1"/>
  <c r="Q119" i="4"/>
  <c r="J57" i="1" s="1"/>
  <c r="Q118" i="4"/>
  <c r="J56" i="1" s="1"/>
  <c r="P119" i="4"/>
  <c r="I57" i="1" s="1"/>
  <c r="P118" i="4"/>
  <c r="I56" i="1" s="1"/>
  <c r="O118" i="4"/>
  <c r="H56" i="1" s="1"/>
  <c r="O119" i="4"/>
  <c r="H57" i="1" s="1"/>
  <c r="N118" i="4"/>
  <c r="G56" i="1" s="1"/>
  <c r="N119" i="4"/>
  <c r="G57" i="1" s="1"/>
  <c r="M119" i="4"/>
  <c r="F57" i="1" s="1"/>
  <c r="M118" i="4"/>
  <c r="F56" i="1" s="1"/>
  <c r="L119" i="4"/>
  <c r="E57" i="1" s="1"/>
  <c r="L118" i="4"/>
  <c r="E56" i="1" s="1"/>
  <c r="K119" i="4"/>
  <c r="D57" i="1" s="1"/>
  <c r="K118" i="4"/>
  <c r="D56" i="1" s="1"/>
  <c r="J119" i="4"/>
  <c r="C57" i="1" s="1"/>
  <c r="J118" i="4"/>
  <c r="C56" i="1" s="1"/>
  <c r="I119" i="4"/>
  <c r="B57" i="1" s="1"/>
  <c r="I118" i="4"/>
  <c r="B56" i="1" s="1"/>
  <c r="H119" i="4"/>
  <c r="H118" i="4"/>
  <c r="G118" i="4"/>
  <c r="G119" i="4"/>
  <c r="AB155" i="4"/>
  <c r="AB37" i="4"/>
  <c r="G30" i="2" s="1"/>
  <c r="AA155" i="4"/>
  <c r="AA37" i="4"/>
  <c r="F30" i="2" s="1"/>
  <c r="Z155" i="4"/>
  <c r="Z37" i="4"/>
  <c r="E30" i="2" s="1"/>
  <c r="Y155" i="4"/>
  <c r="Y37" i="4"/>
  <c r="D30" i="2" s="1"/>
  <c r="X155" i="4"/>
  <c r="X37" i="4"/>
  <c r="C30" i="2" s="1"/>
  <c r="W37" i="4"/>
  <c r="B30" i="2" s="1"/>
  <c r="W155" i="4"/>
  <c r="R155" i="4"/>
  <c r="R37" i="4"/>
  <c r="K37" i="1" s="1"/>
  <c r="Q155" i="4"/>
  <c r="Q37" i="4"/>
  <c r="J37" i="1" s="1"/>
  <c r="P155" i="4"/>
  <c r="P37" i="4"/>
  <c r="I37" i="1" s="1"/>
  <c r="O37" i="4"/>
  <c r="H37" i="1" s="1"/>
  <c r="O155" i="4"/>
  <c r="N37" i="4"/>
  <c r="G37" i="1" s="1"/>
  <c r="N155" i="4"/>
  <c r="M37" i="4"/>
  <c r="F37" i="1" s="1"/>
  <c r="M155" i="4"/>
  <c r="L155" i="4"/>
  <c r="L37" i="4"/>
  <c r="E37" i="1" s="1"/>
  <c r="K155" i="4"/>
  <c r="K37" i="4"/>
  <c r="D37" i="1" s="1"/>
  <c r="J155" i="4"/>
  <c r="J37" i="4"/>
  <c r="C37" i="1" s="1"/>
  <c r="I155" i="4"/>
  <c r="I37" i="4"/>
  <c r="B37" i="1" s="1"/>
  <c r="H155" i="4"/>
  <c r="H156" i="4" s="1"/>
  <c r="H37" i="4"/>
  <c r="G155" i="4"/>
  <c r="G156" i="4" s="1"/>
  <c r="G37" i="4"/>
  <c r="AB156" i="4" l="1"/>
  <c r="G45" i="2" s="1"/>
  <c r="G44" i="2"/>
  <c r="AA156" i="4"/>
  <c r="F45" i="2" s="1"/>
  <c r="F44" i="2"/>
  <c r="Z156" i="4"/>
  <c r="E45" i="2" s="1"/>
  <c r="E44" i="2"/>
  <c r="Y156" i="4"/>
  <c r="D45" i="2" s="1"/>
  <c r="D44" i="2"/>
  <c r="X156" i="4"/>
  <c r="C45" i="2" s="1"/>
  <c r="C44" i="2"/>
  <c r="W156" i="4"/>
  <c r="B45" i="2" s="1"/>
  <c r="B44" i="2"/>
  <c r="R156" i="4"/>
  <c r="K53" i="1" s="1"/>
  <c r="K52" i="1"/>
  <c r="Q156" i="4"/>
  <c r="J53" i="1" s="1"/>
  <c r="J52" i="1"/>
  <c r="P156" i="4"/>
  <c r="I53" i="1" s="1"/>
  <c r="I52" i="1"/>
  <c r="O156" i="4"/>
  <c r="H53" i="1" s="1"/>
  <c r="H52" i="1"/>
  <c r="N156" i="4"/>
  <c r="G53" i="1" s="1"/>
  <c r="G52" i="1"/>
  <c r="M156" i="4"/>
  <c r="F53" i="1" s="1"/>
  <c r="F52" i="1"/>
  <c r="L156" i="4"/>
  <c r="E53" i="1" s="1"/>
  <c r="E52" i="1"/>
  <c r="K156" i="4"/>
  <c r="D53" i="1" s="1"/>
  <c r="D52" i="1"/>
  <c r="J156" i="4"/>
  <c r="C53" i="1" s="1"/>
  <c r="C52" i="1"/>
  <c r="I156" i="4"/>
  <c r="B53" i="1" s="1"/>
  <c r="B52" i="1"/>
</calcChain>
</file>

<file path=xl/sharedStrings.xml><?xml version="1.0" encoding="utf-8"?>
<sst xmlns="http://schemas.openxmlformats.org/spreadsheetml/2006/main" count="1201" uniqueCount="269">
  <si>
    <t>ILMN key numbers: quarterly (last four reported quarters and 2026-27 consensus)</t>
  </si>
  <si>
    <t>$M unless noted. A = reported, E = Bloomberg consensus (10 Oct 2026). Non-GAAP unless noted. 2024 comparisons on a Core Illumina (ex-GRAIL) basis. n/a = not disclosed / no consensus.</t>
  </si>
  <si>
    <t>Metric</t>
  </si>
  <si>
    <t>Q3'25</t>
  </si>
  <si>
    <t>Q4'25</t>
  </si>
  <si>
    <t>Q1'26</t>
  </si>
  <si>
    <t>Q2'26</t>
  </si>
  <si>
    <t>Q3'26E</t>
  </si>
  <si>
    <t>Q4'26E</t>
  </si>
  <si>
    <t>Q1'27E</t>
  </si>
  <si>
    <t>Q2'27E</t>
  </si>
  <si>
    <t>Q3'27E</t>
  </si>
  <si>
    <t>Q4'27E</t>
  </si>
  <si>
    <t>Revenue</t>
  </si>
  <si>
    <t>Consolidated revenue ($M)</t>
  </si>
  <si>
    <t xml:space="preserve">   y/y</t>
  </si>
  <si>
    <t xml:space="preserve">   q/q</t>
  </si>
  <si>
    <t xml:space="preserve">   2-yr stack</t>
  </si>
  <si>
    <t>Revenue ex-China ($M)</t>
  </si>
  <si>
    <t>Instrument placements</t>
  </si>
  <si>
    <t>NovaSeq X placements (units; lower bounds)</t>
  </si>
  <si>
    <t xml:space="preserve">   Clinical share of X placements</t>
  </si>
  <si>
    <t>Instruments</t>
  </si>
  <si>
    <t>Instruments revenue ($M)</t>
  </si>
  <si>
    <t>Sequencing instruments ex-China ($M)</t>
  </si>
  <si>
    <t>Consumables</t>
  </si>
  <si>
    <t>Consumables revenue ($M)</t>
  </si>
  <si>
    <t>Sequencing consumables ($M)</t>
  </si>
  <si>
    <t>Sequencing consumables ex-China ($M)</t>
  </si>
  <si>
    <t>Clinical vs research (ex-China sequencing consumables)</t>
  </si>
  <si>
    <t>Clinical, y/y</t>
  </si>
  <si>
    <t>Research &amp; applied, y/y</t>
  </si>
  <si>
    <t>Volume and implied pricing</t>
  </si>
  <si>
    <t>Sequencing volume (Gb), y/y</t>
  </si>
  <si>
    <t>X share of high-throughput Gb</t>
  </si>
  <si>
    <t>X share of high-throughput consumables revenue</t>
  </si>
  <si>
    <t>Implied revenue per Gb, y/y (at 30% Gb growth)</t>
  </si>
  <si>
    <t>Margins (single reportable segment since the GRAIL spin, Jun 2024: no segment margins)</t>
  </si>
  <si>
    <t>Adj. gross margin</t>
  </si>
  <si>
    <t xml:space="preserve">   y/y change (bps)</t>
  </si>
  <si>
    <t xml:space="preserve">   q/q change (bps)</t>
  </si>
  <si>
    <t>Adj. operating margin</t>
  </si>
  <si>
    <t>Adj. EBITDA margin</t>
  </si>
  <si>
    <t>Adj. net margin</t>
  </si>
  <si>
    <t>GAAP gross margin</t>
  </si>
  <si>
    <t>GAAP operating margin</t>
  </si>
  <si>
    <t>Costs as % of revenue (non-GAAP)</t>
  </si>
  <si>
    <t>COGS</t>
  </si>
  <si>
    <t>R&amp;D</t>
  </si>
  <si>
    <t>SG&amp;A</t>
  </si>
  <si>
    <t>Total opex (R&amp;D + SG&amp;A)</t>
  </si>
  <si>
    <t>Stock-based compensation (inside non-GAAP costs)</t>
  </si>
  <si>
    <t>Adj. tax rate</t>
  </si>
  <si>
    <t>Non-GAAP EPS</t>
  </si>
  <si>
    <t>Non-GAAP EPS ($)</t>
  </si>
  <si>
    <t>Notes:</t>
  </si>
  <si>
    <t>1. 2024 is Core Illumina (ex-GRAIL, spun 24 Jun 2024). Q3'24/Q4'24 y/y used in the 2-yr stacks are reported Core growth or derived from 10-Q/10-K line items (Q4'23, Q4'24 derived as FY less 9M).</t>
  </si>
  <si>
    <t>2. Ex-China lines are the company's 'Rest of World' disclosure; consensus has no ex-China split by line, so ex-China estimates exist only for total revenue (total less consensus Greater China).</t>
  </si>
  <si>
    <t>3. X placements are disclosed as lower bounds ('55+', '100+', '95+'; Q1'26 = 83). No consensus for placements, Gb volume or clinical/research split.</t>
  </si>
  <si>
    <t>4. Gb volume is disclosed only as a floor ('&gt;30%'); the 2-yr stack is the sum of the floors. Implied revenue per Gb = (1 + sequencing consumables growth) / 1.30 - 1.</t>
  </si>
  <si>
    <t>5. Adj. EBITDA = adj. operating income + depreciation (ties to Bloomberg for 2025-26; Bloomberg's own EBITDA line diverges in 2027E+ and is broken for Q2'26).</t>
  </si>
  <si>
    <t>6. Estimate margins use Bloomberg's consensus margin lines (gross and operating), because its gross-profit and operating-income dollar lines do not tie to them in 2028E-30E. Bloomberg's R&amp;D and SG&amp;A lines also do not tie to its operating income in outer years, so cost ratios for 2028E-30E are indicative.</t>
  </si>
  <si>
    <t>9. GAAP operating margin y/y for Q3'25 and FY25 is distorted by the Q3'24 reversal of the EU fine (Q3'24 GAAP operating margin 68.6%).</t>
  </si>
  <si>
    <t>7. FY26 is a 53-week year; management says the extra week falls in Q4'26, 'largely a consumables story', worth ~0.5pt of revenue.</t>
  </si>
  <si>
    <t>8. FY26E clinical/research = company guidance (mid-teens; mid- to high-single-digit decline), not consensus.</t>
  </si>
  <si>
    <t>ILMN key numbers: annual (FY25 reported, FY26-FY30 consensus)</t>
  </si>
  <si>
    <t>FY25</t>
  </si>
  <si>
    <t>FY26E</t>
  </si>
  <si>
    <t>FY27E</t>
  </si>
  <si>
    <t>FY28E</t>
  </si>
  <si>
    <t>FY29E</t>
  </si>
  <si>
    <t>FY30E</t>
  </si>
  <si>
    <t>A. GAAP to non-GAAP adjustments ($M)</t>
  </si>
  <si>
    <t>Stock-based compensation is NOT added back: it stays inside non-GAAP costs (only its book-vs-tax difference is adjusted in the tax line). Source: ILMN earnings decks' reconciliation tables.</t>
  </si>
  <si>
    <t>Item</t>
  </si>
  <si>
    <t>GAAP gross profit</t>
  </si>
  <si>
    <t>+ Amortization of acquired intangibles (COGS)</t>
  </si>
  <si>
    <t>+ Other acquisition-related (COGS; incl. SomaLogic inventory step-up)</t>
  </si>
  <si>
    <t>+ Transformational initiatives (COGS)</t>
  </si>
  <si>
    <t>+ Intangible impairment (COGS, Q2'25)</t>
  </si>
  <si>
    <t>NON-GAAP GROSS PROFIT</t>
  </si>
  <si>
    <t>GAAP operating income</t>
  </si>
  <si>
    <t>+ Cost-of-revenue items (above)</t>
  </si>
  <si>
    <t>+ R&amp;D items</t>
  </si>
  <si>
    <t>+ SG&amp;A items (acquisition, transformation, other)</t>
  </si>
  <si>
    <t>+ Legal contingency and settlement</t>
  </si>
  <si>
    <t>NON-GAAP OPERATING INCOME</t>
  </si>
  <si>
    <t>GAAP net income</t>
  </si>
  <si>
    <t>- Strategic investment (gain) / + loss</t>
  </si>
  <si>
    <t>+/- Tax effect of adjustments</t>
  </si>
  <si>
    <t>NON-GAAP NET INCOME</t>
  </si>
  <si>
    <t>What sits inside the buckets:</t>
  </si>
  <si>
    <t>- Acquisition-related: intangible amortization ($16-18M a quarter); SomaLogic/GRAIL legal and deal costs; contingent-consideration fair-value changes (gains of $16M in both Q1'26 and Q2'26 reduce the add-back); SomaLogic inventory step-up ($6M Q1'26, $2M Q2'26); a lease impairment ($4M, Q3'25).</t>
  </si>
  <si>
    <t>- Transformational initiatives: severance ($47M FY25) and ERP upgrade costs ($14M FY25; ERP only in 2026).</t>
  </si>
  <si>
    <t>- Other (Q4'25): $19M Illumina Foundation donation; FY25 also $3M board changes and $2M legal accrual.</t>
  </si>
  <si>
    <t>- Strategic investments: mark-to-market on holdings (mainly GRAIL stock); FY25 gain of $333M ($192M in Q4'25) excluded; Q1'26 loss $37M excluded.</t>
  </si>
  <si>
    <t>- Tax: Q3'25 excludes a one-time $42M valuation allowance on foreign tax credits (FY $62M); GILTI/Pillar Two (GRAIL losses) items ended in 2025.</t>
  </si>
  <si>
    <t>- Definition notes: 2024 shown Core vs consolidated (FY24 non-GAAP EPS $4.16 Core vs $2.45 consolidated); inventory step-up add-back new from Q1'26; deferred-comp cost sits in non-GAAP opex (~60bps of Q2'26 margin) and is offset in other income; Q1'26/Q2'26 decks dropped the net-income reconciliation (non-GAAP NI here derived).</t>
  </si>
  <si>
    <t>B. Commentary on consumables margins</t>
  </si>
  <si>
    <t>Illumina does not disclose margin by product. What is said:</t>
  </si>
  <si>
    <t>- MGMT (Q4'23): NovaSeq X consumables were 'designed so margins at scale would be comparable' to the 6000's; early X margins lower, normalizing through 2024.</t>
  </si>
  <si>
    <t>- MGMT (Aug 2024 strategy update): consumables pull-through 'drives almost 70% gross margin'; the X transition's lower pricing is 'strategically a drag'.</t>
  </si>
  <si>
    <t>- MGMT (Q3'24): gross margin 70.5% (+450bps), about half from consumables mix; X-transition price impact 'closer towards 25 rather than 20' (%).</t>
  </si>
  <si>
    <t>- MGMT (Q4'25, Q1'26): instruments carry lower margin than consumables, so heavy-placement quarters (Q4) dilute gross margin.</t>
  </si>
  <si>
    <t>- MGMT / 10-Q (Q2'26): gross margin held at 68.2% despite instrument mix, rising memory costs (partly passed to customers) and Middle East freight; Q3'26 step-up expected from higher consumables mix and cost actions. Tariffs cost ~110-220bps of gross margin a quarter in Q2-Q4'25.</t>
  </si>
  <si>
    <t>- ANALYST (Freedom, Feb 2026): product gross margin ~70% in 2025; service gross margin 57% in 2H25 vs 50% a year earlier. JPM (Jun 2026): gross margin stays in the high 60s as reagent rentals could pressure ASPs.</t>
  </si>
  <si>
    <t>- EXPERT (former Illumina associate director, Jul 2026): Element pricing pushed Illumina's consumable margins 'below 50% in some cases' (single source, unverified; conflicts with the implied range below).</t>
  </si>
  <si>
    <t>- OUR ESTIMATE (Core Notes 16, assumes ~40% instrument gross margin): implied consumables gross margin ~79% (Q3'24) falling to ~75% (Q2'26), roughly flat once tariffs are added back. Customer read-across: Adaptive's MRD gross margin rose to 72% from 64% and Guardant saved ~$200/test on the X, i.e. the X's lower $/Gb is showing up as customer margin.</t>
  </si>
  <si>
    <t>C. Walk-down of $1 of revenue (FY25 reported; FY26E consensus)</t>
  </si>
  <si>
    <t>Line</t>
  </si>
  <si>
    <t>FY25 non-GAAP $M</t>
  </si>
  <si>
    <t>per $1</t>
  </si>
  <si>
    <t>FY25 GAAP $M</t>
  </si>
  <si>
    <t>FY26E non-GAAP $M</t>
  </si>
  <si>
    <t>(-) Cost of revenue</t>
  </si>
  <si>
    <t>GROSS PROFIT</t>
  </si>
  <si>
    <t>(-) R&amp;D</t>
  </si>
  <si>
    <t>(-) SG&amp;A</t>
  </si>
  <si>
    <t>(-) Legal contingency / other</t>
  </si>
  <si>
    <t>OPERATING INCOME</t>
  </si>
  <si>
    <t>(+/-) Other income / expense, net</t>
  </si>
  <si>
    <t>PRE-TAX INCOME</t>
  </si>
  <si>
    <t>(-) Income tax</t>
  </si>
  <si>
    <t>NET INCOME</t>
  </si>
  <si>
    <t>Memo: stock-based comp (non-cash, inside costs)</t>
  </si>
  <si>
    <t>Memo: depreciation &amp; amortization</t>
  </si>
  <si>
    <t>Memo: capex</t>
  </si>
  <si>
    <t>Memo: free cash flow</t>
  </si>
  <si>
    <t>How to read it: of each FY25 revenue dollar, ~32c goes to cost of revenue, ~22c to R&amp;D and ~23c to SG&amp;A, leaving ~23c of non-GAAP operating profit and ~17c of non-GAAP net income. ~6c of costs is non-cash stock comp; free cash flow is ~21c.</t>
  </si>
  <si>
    <t>GAAP vs non-GAAP: GAAP adds ~1.5c of intangible amortization and ~2c of acquisition/restructuring/legal costs, but FY25 GAAP net income is higher (~20c) because of a $333M gain on strategic investments (mainly GRAIL stock).</t>
  </si>
  <si>
    <t>Sources: FY25 10-K and Q4'25 deck reconciliation; FY26E = Bloomberg consensus (10 Oct 2026); FY26E other expense and tax derived from consensus pre-tax income and tax rate.</t>
  </si>
  <si>
    <t>ILMN data: inputs (blue) and formulas (black). $M unless noted. Sources: ILMN decks, 10-Q/10-K, calls; Bloomberg consensus 10 Oct 2026.</t>
  </si>
  <si>
    <t>Row</t>
  </si>
  <si>
    <t>Q1'24</t>
  </si>
  <si>
    <t>Q2'24</t>
  </si>
  <si>
    <t>Q3'24</t>
  </si>
  <si>
    <t>Q4'24</t>
  </si>
  <si>
    <t>Q1'25</t>
  </si>
  <si>
    <t>Q2'25</t>
  </si>
  <si>
    <t>Annual</t>
  </si>
  <si>
    <t>FY23</t>
  </si>
  <si>
    <t>FY24</t>
  </si>
  <si>
    <t>value</t>
  </si>
  <si>
    <t>2024 = Core Illumina (ex-GRAIL); Q3'24/Q4'24 y/y = reported Core growth</t>
  </si>
  <si>
    <t xml:space="preserve">   Consolidated revenue ($M) y/y</t>
  </si>
  <si>
    <t>yoy</t>
  </si>
  <si>
    <t>n/a</t>
  </si>
  <si>
    <t xml:space="preserve">   Consolidated revenue ($M) q/q</t>
  </si>
  <si>
    <t>qoq</t>
  </si>
  <si>
    <t xml:space="preserve">   Consolidated revenue ($M) 2-yr stack</t>
  </si>
  <si>
    <t>stk</t>
  </si>
  <si>
    <t>Total less Greater China; estimates = consensus total less consensus Greater China</t>
  </si>
  <si>
    <t xml:space="preserve">   Revenue ex-China ($M) y/y</t>
  </si>
  <si>
    <t xml:space="preserve">   Revenue ex-China ($M) q/q</t>
  </si>
  <si>
    <t xml:space="preserve">   Revenue ex-China ($M) 2-yr stack</t>
  </si>
  <si>
    <t>NovaSeq X placements (units)</t>
  </si>
  <si>
    <t>Disclosed as lower bounds (e.g. '55+', '100+', '95+'); no consensus</t>
  </si>
  <si>
    <t xml:space="preserve">   NovaSeq X placements (units) y/y</t>
  </si>
  <si>
    <t xml:space="preserve">   NovaSeq X placements (units) q/q</t>
  </si>
  <si>
    <t xml:space="preserve">   NovaSeq X placements (units) 2-yr stack</t>
  </si>
  <si>
    <t>Sequencing + microarray instruments</t>
  </si>
  <si>
    <t xml:space="preserve">   Instruments revenue ($M) y/y</t>
  </si>
  <si>
    <t xml:space="preserve">   Instruments revenue ($M) q/q</t>
  </si>
  <si>
    <t xml:space="preserve">   Instruments revenue ($M) 2-yr stack</t>
  </si>
  <si>
    <t>Company 'Rest of World' disclosure; no consensus by region and line</t>
  </si>
  <si>
    <t xml:space="preserve">   Sequencing instruments ex-China ($M) y/y</t>
  </si>
  <si>
    <t xml:space="preserve">   Sequencing instruments ex-China ($M) q/q</t>
  </si>
  <si>
    <t xml:space="preserve">   Sequencing instruments ex-China ($M) 2-yr stack</t>
  </si>
  <si>
    <t>Sequencing + microarray consumables</t>
  </si>
  <si>
    <t xml:space="preserve">   Consumables revenue ($M) y/y</t>
  </si>
  <si>
    <t xml:space="preserve">   Consumables revenue ($M) q/q</t>
  </si>
  <si>
    <t xml:space="preserve">   Consumables revenue ($M) 2-yr stack</t>
  </si>
  <si>
    <t>Q4'24 derived from FY; Q3'23/Q4'23 from 10-Q/10-K</t>
  </si>
  <si>
    <t xml:space="preserve">   Sequencing consumables ($M) y/y</t>
  </si>
  <si>
    <t xml:space="preserve">   Sequencing consumables ($M) q/q</t>
  </si>
  <si>
    <t xml:space="preserve">   Sequencing consumables ($M) 2-yr stack</t>
  </si>
  <si>
    <t>Company 'Rest of World' disclosure; FY26 guide: mid-single-digit growth</t>
  </si>
  <si>
    <t xml:space="preserve">   Sequencing consumables ex-China ($M) y/y</t>
  </si>
  <si>
    <t xml:space="preserve">   Sequencing consumables ex-China ($M) q/q</t>
  </si>
  <si>
    <t xml:space="preserve">   Sequencing consumables ex-China ($M) 2-yr stack</t>
  </si>
  <si>
    <t>Clinical (ex-China seq. consumables), y/y</t>
  </si>
  <si>
    <t>FY26E = guide 'mid-teens' (shown as 15%); H2'26 implied ~13%</t>
  </si>
  <si>
    <t xml:space="preserve">   Clinical (ex-China seq. consumables), y/y 2-yr stack</t>
  </si>
  <si>
    <t>Research &amp; applied (ex-China seq. consumables), y/y</t>
  </si>
  <si>
    <t>FY26E = guide 'mid- to high-single-digit decline' (shown as -7.5%)</t>
  </si>
  <si>
    <t xml:space="preserve">   Research &amp; applied (ex-China seq. consumables), y/y 2-yr stack</t>
  </si>
  <si>
    <t>Adj. gross profit ($M)</t>
  </si>
  <si>
    <t>Estimates = consensus revenue x consensus gross-margin line</t>
  </si>
  <si>
    <t xml:space="preserve">   Adj. gross profit ($M) y/y</t>
  </si>
  <si>
    <t xml:space="preserve">   Adj. gross profit ($M) q/q</t>
  </si>
  <si>
    <t xml:space="preserve">   Adj. gross profit ($M) 2-yr stack</t>
  </si>
  <si>
    <t>Adj. operating income ($M)</t>
  </si>
  <si>
    <t>Estimates = consensus revenue x consensus operating-margin line</t>
  </si>
  <si>
    <t xml:space="preserve">   Adj. operating income ($M) y/y</t>
  </si>
  <si>
    <t xml:space="preserve">   Adj. operating income ($M) q/q</t>
  </si>
  <si>
    <t xml:space="preserve">   Adj. operating income ($M) 2-yr stack</t>
  </si>
  <si>
    <t>Depreciation ($M)</t>
  </si>
  <si>
    <t>2024 quarters = FY24/4 (derived); 2025+ = D&amp;A less amortization</t>
  </si>
  <si>
    <t xml:space="preserve">   Depreciation ($M) y/y</t>
  </si>
  <si>
    <t xml:space="preserve">   Depreciation ($M) q/q</t>
  </si>
  <si>
    <t xml:space="preserve">   Depreciation ($M) 2-yr stack</t>
  </si>
  <si>
    <t>Adj. net income ($M)</t>
  </si>
  <si>
    <t xml:space="preserve">   Adj. net income ($M) y/y</t>
  </si>
  <si>
    <t xml:space="preserve">   Adj. net income ($M) q/q</t>
  </si>
  <si>
    <t xml:space="preserve">   Adj. net income ($M) 2-yr stack</t>
  </si>
  <si>
    <t>Adj. R&amp;D ($M)</t>
  </si>
  <si>
    <t xml:space="preserve">   Adj. R&amp;D ($M) y/y</t>
  </si>
  <si>
    <t xml:space="preserve">   Adj. R&amp;D ($M) q/q</t>
  </si>
  <si>
    <t xml:space="preserve">   Adj. R&amp;D ($M) 2-yr stack</t>
  </si>
  <si>
    <t>Adj. SG&amp;A ($M)</t>
  </si>
  <si>
    <t xml:space="preserve">   Adj. SG&amp;A ($M) y/y</t>
  </si>
  <si>
    <t xml:space="preserve">   Adj. SG&amp;A ($M) q/q</t>
  </si>
  <si>
    <t xml:space="preserve">   Adj. SG&amp;A ($M) 2-yr stack</t>
  </si>
  <si>
    <t>Stock-based compensation ($M)</t>
  </si>
  <si>
    <t>Kept inside non-GAAP costs (not added back)</t>
  </si>
  <si>
    <t xml:space="preserve">   Stock-based compensation ($M) y/y</t>
  </si>
  <si>
    <t xml:space="preserve">   Stock-based compensation ($M) q/q</t>
  </si>
  <si>
    <t xml:space="preserve">   Stock-based compensation ($M) 2-yr stack</t>
  </si>
  <si>
    <t>2024 Core GAAP inflated by EU fine reversal (Q3'24) and CVR gains</t>
  </si>
  <si>
    <t>2024 = Core; 2023 comparisons distorted by GRAIL</t>
  </si>
  <si>
    <t xml:space="preserve">   Non-GAAP EPS ($) y/y</t>
  </si>
  <si>
    <t>n/m</t>
  </si>
  <si>
    <t xml:space="preserve">   Non-GAAP EPS ($) q/q</t>
  </si>
  <si>
    <t xml:space="preserve">   Non-GAAP EPS ($) 2-yr stack</t>
  </si>
  <si>
    <t>Adj. EBITDA margin (op. income + depreciation)</t>
  </si>
  <si>
    <t>COGS % of revenue (non-GAAP)</t>
  </si>
  <si>
    <t>R&amp;D % of revenue</t>
  </si>
  <si>
    <t>SG&amp;A % of revenue</t>
  </si>
  <si>
    <t>Total opex % of revenue (R&amp;D + SG&amp;A)</t>
  </si>
  <si>
    <t>SBC % of revenue</t>
  </si>
  <si>
    <t xml:space="preserve">   Adj. gross margin y/y change (bps)</t>
  </si>
  <si>
    <t>ybps</t>
  </si>
  <si>
    <t xml:space="preserve">   Adj. gross margin q/q change (bps)</t>
  </si>
  <si>
    <t>qbps</t>
  </si>
  <si>
    <t xml:space="preserve">   Adj. operating margin y/y change (bps)</t>
  </si>
  <si>
    <t xml:space="preserve">   Adj. operating margin q/q change (bps)</t>
  </si>
  <si>
    <t xml:space="preserve">   Adj. EBITDA margin (op. income + depreciation) y/y change (bps)</t>
  </si>
  <si>
    <t xml:space="preserve">   Adj. EBITDA margin (op. income + depreciation) q/q change (bps)</t>
  </si>
  <si>
    <t xml:space="preserve">   Adj. net margin y/y change (bps)</t>
  </si>
  <si>
    <t xml:space="preserve">   Adj. net margin q/q change (bps)</t>
  </si>
  <si>
    <t xml:space="preserve">   GAAP gross margin y/y change (bps)</t>
  </si>
  <si>
    <t xml:space="preserve">   GAAP gross margin q/q change (bps)</t>
  </si>
  <si>
    <t xml:space="preserve">   GAAP operating margin y/y change (bps)</t>
  </si>
  <si>
    <t xml:space="preserve">   GAAP operating margin q/q change (bps)</t>
  </si>
  <si>
    <t xml:space="preserve">   COGS % of revenue (non-GAAP) y/y change (bps)</t>
  </si>
  <si>
    <t xml:space="preserve">   COGS % of revenue (non-GAAP) q/q change (bps)</t>
  </si>
  <si>
    <t xml:space="preserve">   R&amp;D % of revenue y/y change (bps)</t>
  </si>
  <si>
    <t xml:space="preserve">   R&amp;D % of revenue q/q change (bps)</t>
  </si>
  <si>
    <t xml:space="preserve">   SG&amp;A % of revenue y/y change (bps)</t>
  </si>
  <si>
    <t xml:space="preserve">   SG&amp;A % of revenue q/q change (bps)</t>
  </si>
  <si>
    <t xml:space="preserve">   Total opex % of revenue (R&amp;D + SG&amp;A) y/y change (bps)</t>
  </si>
  <si>
    <t xml:space="preserve">   Total opex % of revenue (R&amp;D + SG&amp;A) q/q change (bps)</t>
  </si>
  <si>
    <t xml:space="preserve">   SBC % of revenue y/y change (bps)</t>
  </si>
  <si>
    <t xml:space="preserve">   SBC % of revenue q/q change (bps)</t>
  </si>
  <si>
    <t xml:space="preserve">   Adj. tax rate y/y change (bps)</t>
  </si>
  <si>
    <t xml:space="preserve">   Adj. tax rate q/q change (bps)</t>
  </si>
  <si>
    <t>Gb growth assumption for implied revenue per Gb</t>
  </si>
  <si>
    <t>Implied revenue per Gb y/y (seq. consumables growth vs 30% Gb growth)</t>
  </si>
  <si>
    <t xml:space="preserve">   Implied revenue per Gb 2-yr stack</t>
  </si>
  <si>
    <t>Sequencing volume (Gb) y/y, as disclosed</t>
  </si>
  <si>
    <t>&gt;35%</t>
  </si>
  <si>
    <t>&gt;40%</t>
  </si>
  <si>
    <t>&gt;30%</t>
  </si>
  <si>
    <t xml:space="preserve">   Sequencing volume 2-yr stack</t>
  </si>
  <si>
    <t>&gt;70%</t>
  </si>
  <si>
    <t>&gt;60%</t>
  </si>
  <si>
    <t>Clinical share of X placements</t>
  </si>
  <si>
    <t>&gt;50%</t>
  </si>
  <si>
    <t>~60-70%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</si>
</sst>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0.00"/>
    <numFmt numFmtId="166" formatCode="\+#,##0;\(#,##0\);0"/>
    <numFmt numFmtId="167" formatCode="#,##0;\(#,##0\);&quot;-&quot;"/>
    <numFmt numFmtId="168" formatCode="0.000;\(0.000\);&quot;-&quot;"/>
  </numFmts>
  <fonts count="12">
    <font>
      <sz val="11"/>
      <color theme="1"/>
      <name val="Calibri"/>
      <family val="2"/>
      <scheme val="minor"/>
    </font>
    <font>
      <b/>
      <sz val="10"/>
      <name val="Arial"/>
    </font>
    <font>
      <b/>
      <sz val="9"/>
      <color rgb="FFFFFFFF"/>
      <name val="Arial"/>
    </font>
    <font>
      <b/>
      <sz val="9"/>
      <name val="Arial"/>
    </font>
    <font>
      <i/>
      <sz val="9"/>
      <color rgb="FF595959"/>
      <name val="Arial"/>
    </font>
    <font>
      <sz val="9"/>
      <color rgb="FF0000FF"/>
      <name val="Arial"/>
    </font>
    <font>
      <sz val="9"/>
      <name val="Arial"/>
    </font>
    <font>
      <sz val="9"/>
      <color rgb="FF595959"/>
      <name val="Arial"/>
    </font>
    <font>
      <b/>
      <sz val="11"/>
      <name val="Arial"/>
    </font>
    <font>
      <i/>
      <sz val="9"/>
      <name val="Arial"/>
    </font>
    <font>
      <b/>
      <i/>
      <sz val="9"/>
      <color rgb="FF595959"/>
      <name val="Arial"/>
    </font>
    <font>
      <b/>
      <sz val="9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8" fillId="0" borderId="0" xfId="0" applyFont="1"/>
    <xf numFmtId="0" fontId="4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9" fillId="0" borderId="1" xfId="0" applyFont="1" applyBorder="1"/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49" fontId="9" fillId="4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3" fillId="4" borderId="1" xfId="0" applyNumberFormat="1" applyFont="1" applyFill="1" applyBorder="1" applyAlignment="1">
      <alignment horizontal="right"/>
    </xf>
    <xf numFmtId="0" fontId="6" fillId="0" borderId="1" xfId="0" applyFont="1" applyBorder="1"/>
    <xf numFmtId="9" fontId="6" fillId="0" borderId="1" xfId="0" applyNumberFormat="1" applyFont="1" applyBorder="1" applyAlignment="1">
      <alignment horizontal="right"/>
    </xf>
    <xf numFmtId="9" fontId="6" fillId="4" borderId="1" xfId="0" applyNumberFormat="1" applyFont="1" applyFill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6" fontId="9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0" fillId="0" borderId="0" xfId="0" applyFont="1"/>
    <xf numFmtId="167" fontId="6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67" fontId="11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0" fontId="1" fillId="0" borderId="0" xfId="0" applyFont="1"/>
    <xf numFmtId="0" fontId="3" fillId="0" borderId="0" xfId="0" applyFont="1"/>
    <xf numFmtId="3" fontId="5" fillId="0" borderId="0" xfId="0" applyNumberFormat="1" applyFont="1" applyAlignment="1">
      <alignment horizontal="right"/>
    </xf>
    <xf numFmtId="164" fontId="6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7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66" fontId="0" fillId="0" borderId="0" xfId="0" applyNumberFormat="1"/>
    <xf numFmtId="9" fontId="5" fillId="0" borderId="0" xfId="0" applyNumberFormat="1" applyFont="1"/>
    <xf numFmtId="0" fontId="0" fillId="0" borderId="0" xfId="0"/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showGridLines="0" tabSelected="1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4.25"/>
  <cols>
    <col min="1" max="1" width="44" customWidth="1"/>
    <col min="2" max="11" width="9.42578125" customWidth="1"/>
  </cols>
  <sheetData>
    <row r="1" spans="1:11">
      <c r="A1" s="1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>
      <c r="A2" s="2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4" spans="1:1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7" t="s">
        <v>14</v>
      </c>
      <c r="B6" s="8">
        <f>Data!I4</f>
        <v>1084</v>
      </c>
      <c r="C6" s="8">
        <f>Data!J4</f>
        <v>1159</v>
      </c>
      <c r="D6" s="8">
        <f>Data!K4</f>
        <v>1091</v>
      </c>
      <c r="E6" s="8">
        <f>Data!L4</f>
        <v>1159</v>
      </c>
      <c r="F6" s="9">
        <f>Data!M4</f>
        <v>1154.2</v>
      </c>
      <c r="G6" s="9">
        <f>Data!N4</f>
        <v>1219.8</v>
      </c>
      <c r="H6" s="9">
        <f>Data!O4</f>
        <v>1159.5999999999999</v>
      </c>
      <c r="I6" s="9">
        <f>Data!P4</f>
        <v>1217.8</v>
      </c>
      <c r="J6" s="9">
        <f>Data!Q4</f>
        <v>1229.2</v>
      </c>
      <c r="K6" s="9">
        <f>Data!R4</f>
        <v>1292.3</v>
      </c>
    </row>
    <row r="7" spans="1:11">
      <c r="A7" s="10" t="s">
        <v>15</v>
      </c>
      <c r="B7" s="11">
        <f>Data!I5</f>
        <v>3.7037037037037646E-3</v>
      </c>
      <c r="C7" s="11">
        <f>Data!J5</f>
        <v>4.98188405797102E-2</v>
      </c>
      <c r="D7" s="11">
        <f>Data!K5</f>
        <v>4.8030739673390999E-2</v>
      </c>
      <c r="E7" s="11">
        <f>Data!L5</f>
        <v>9.4428706326723288E-2</v>
      </c>
      <c r="F7" s="12">
        <f>Data!M5</f>
        <v>6.4760147601476081E-2</v>
      </c>
      <c r="G7" s="12">
        <f>Data!N5</f>
        <v>5.2459016393442637E-2</v>
      </c>
      <c r="H7" s="12">
        <f>Data!O5</f>
        <v>6.2878093492208853E-2</v>
      </c>
      <c r="I7" s="12">
        <f>Data!P5</f>
        <v>5.0733390854184712E-2</v>
      </c>
      <c r="J7" s="12">
        <f>Data!Q5</f>
        <v>6.4980072777681475E-2</v>
      </c>
      <c r="K7" s="12">
        <f>Data!R5</f>
        <v>5.9435973110345985E-2</v>
      </c>
    </row>
    <row r="8" spans="1:11">
      <c r="A8" s="10" t="s">
        <v>16</v>
      </c>
      <c r="B8" s="11">
        <f>Data!I6</f>
        <v>2.3607176581680767E-2</v>
      </c>
      <c r="C8" s="11">
        <f>Data!J6</f>
        <v>6.9188191881918826E-2</v>
      </c>
      <c r="D8" s="11">
        <f>Data!K6</f>
        <v>-5.867126833477132E-2</v>
      </c>
      <c r="E8" s="11">
        <f>Data!L6</f>
        <v>6.2328139321723208E-2</v>
      </c>
      <c r="F8" s="12">
        <f>Data!M6</f>
        <v>-4.1415012942190854E-3</v>
      </c>
      <c r="G8" s="12">
        <f>Data!N6</f>
        <v>5.683590365621205E-2</v>
      </c>
      <c r="H8" s="12">
        <f>Data!O6</f>
        <v>-4.935235284472872E-2</v>
      </c>
      <c r="I8" s="12">
        <f>Data!P6</f>
        <v>5.0189720593308174E-2</v>
      </c>
      <c r="J8" s="12">
        <f>Data!Q6</f>
        <v>9.3611430448350408E-3</v>
      </c>
      <c r="K8" s="12">
        <f>Data!R6</f>
        <v>5.1334201106410626E-2</v>
      </c>
    </row>
    <row r="9" spans="1:11">
      <c r="A9" s="10" t="s">
        <v>17</v>
      </c>
      <c r="B9" s="11">
        <f>Data!I7</f>
        <v>-1.6296296296296236E-2</v>
      </c>
      <c r="C9" s="11">
        <f>Data!J7</f>
        <v>5.9818840579710202E-2</v>
      </c>
      <c r="D9" s="11">
        <f>Data!K7</f>
        <v>3.3826194218845584E-2</v>
      </c>
      <c r="E9" s="11">
        <f>Data!L7</f>
        <v>6.4208926106943065E-2</v>
      </c>
      <c r="F9" s="12">
        <f>Data!M7</f>
        <v>6.8463851305179846E-2</v>
      </c>
      <c r="G9" s="12">
        <f>Data!N7</f>
        <v>0.10227785697315284</v>
      </c>
      <c r="H9" s="12">
        <f>Data!O7</f>
        <v>0.11090883316559985</v>
      </c>
      <c r="I9" s="12">
        <f>Data!P7</f>
        <v>0.145162097180908</v>
      </c>
      <c r="J9" s="12">
        <f>Data!Q7</f>
        <v>0.12974022037915756</v>
      </c>
      <c r="K9" s="12">
        <f>Data!R7</f>
        <v>0.11189498950378862</v>
      </c>
    </row>
    <row r="10" spans="1:11">
      <c r="A10" s="7" t="s">
        <v>18</v>
      </c>
      <c r="B10" s="8">
        <f>Data!I9</f>
        <v>1032</v>
      </c>
      <c r="C10" s="8">
        <f>Data!J9</f>
        <v>1104</v>
      </c>
      <c r="D10" s="8">
        <f>Data!K9</f>
        <v>1039</v>
      </c>
      <c r="E10" s="8">
        <f>Data!L9</f>
        <v>1103</v>
      </c>
      <c r="F10" s="9">
        <f>Data!M9</f>
        <v>1103.4000000000001</v>
      </c>
      <c r="G10" s="9">
        <f>Data!N9</f>
        <v>1167.9000000000001</v>
      </c>
      <c r="H10" s="9">
        <f>Data!O9</f>
        <v>1115</v>
      </c>
      <c r="I10" s="9">
        <f>Data!P9</f>
        <v>1170.8</v>
      </c>
      <c r="J10" s="9">
        <f>Data!Q9</f>
        <v>1182.7</v>
      </c>
      <c r="K10" s="9">
        <f>Data!R9</f>
        <v>1243.4000000000001</v>
      </c>
    </row>
    <row r="11" spans="1:11">
      <c r="A11" s="10" t="s">
        <v>15</v>
      </c>
      <c r="B11" s="11">
        <f>Data!I10</f>
        <v>2.6865671641790989E-2</v>
      </c>
      <c r="C11" s="11">
        <f>Data!J10</f>
        <v>7.8125E-2</v>
      </c>
      <c r="D11" s="11">
        <f>Data!K10</f>
        <v>7.2239422084623417E-2</v>
      </c>
      <c r="E11" s="11">
        <f>Data!L10</f>
        <v>0.10742971887550201</v>
      </c>
      <c r="F11" s="12">
        <f>Data!M10</f>
        <v>6.9186046511628074E-2</v>
      </c>
      <c r="G11" s="12">
        <f>Data!N10</f>
        <v>5.7880434782608736E-2</v>
      </c>
      <c r="H11" s="12">
        <f>Data!O10</f>
        <v>7.3147256977863284E-2</v>
      </c>
      <c r="I11" s="12">
        <f>Data!P10</f>
        <v>6.1468721668177739E-2</v>
      </c>
      <c r="J11" s="12">
        <f>Data!Q10</f>
        <v>7.1868769258655041E-2</v>
      </c>
      <c r="K11" s="12">
        <f>Data!R10</f>
        <v>6.4645945714530306E-2</v>
      </c>
    </row>
    <row r="12" spans="1:11">
      <c r="A12" s="10" t="s">
        <v>16</v>
      </c>
      <c r="B12" s="11">
        <f>Data!I11</f>
        <v>3.6144578313253017E-2</v>
      </c>
      <c r="C12" s="11">
        <f>Data!J11</f>
        <v>6.9767441860465018E-2</v>
      </c>
      <c r="D12" s="11">
        <f>Data!K11</f>
        <v>-5.8876811594202882E-2</v>
      </c>
      <c r="E12" s="11">
        <f>Data!L11</f>
        <v>6.1597690086621748E-2</v>
      </c>
      <c r="F12" s="12">
        <f>Data!M11</f>
        <v>3.6264732547608425E-4</v>
      </c>
      <c r="G12" s="12">
        <f>Data!N11</f>
        <v>5.845568243610666E-2</v>
      </c>
      <c r="H12" s="12">
        <f>Data!O11</f>
        <v>-4.5294973884750456E-2</v>
      </c>
      <c r="I12" s="12">
        <f>Data!P11</f>
        <v>5.0044843049327215E-2</v>
      </c>
      <c r="J12" s="12">
        <f>Data!Q11</f>
        <v>1.016399043389149E-2</v>
      </c>
      <c r="K12" s="12">
        <f>Data!R11</f>
        <v>5.1323243426059095E-2</v>
      </c>
    </row>
    <row r="13" spans="1:11">
      <c r="A13" s="10" t="s">
        <v>17</v>
      </c>
      <c r="B13" s="11" t="str">
        <f>Data!I12</f>
        <v>n/a</v>
      </c>
      <c r="C13" s="11" t="str">
        <f>Data!J12</f>
        <v>n/a</v>
      </c>
      <c r="D13" s="11">
        <f>Data!K12</f>
        <v>6.3036968096893409E-2</v>
      </c>
      <c r="E13" s="11">
        <f>Data!L12</f>
        <v>8.6780751323879635E-2</v>
      </c>
      <c r="F13" s="12">
        <f>Data!M12</f>
        <v>9.6051718153419063E-2</v>
      </c>
      <c r="G13" s="12">
        <f>Data!N12</f>
        <v>0.13600543478260874</v>
      </c>
      <c r="H13" s="12">
        <f>Data!O12</f>
        <v>0.1453866790624867</v>
      </c>
      <c r="I13" s="12">
        <f>Data!P12</f>
        <v>0.16889844054367975</v>
      </c>
      <c r="J13" s="12">
        <f>Data!Q12</f>
        <v>0.14105481577028312</v>
      </c>
      <c r="K13" s="12">
        <f>Data!R12</f>
        <v>0.12252638049713904</v>
      </c>
    </row>
    <row r="14" spans="1:11">
      <c r="A14" s="5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A15" s="7" t="s">
        <v>20</v>
      </c>
      <c r="B15" s="8">
        <f>Data!I14</f>
        <v>55</v>
      </c>
      <c r="C15" s="8">
        <f>Data!J14</f>
        <v>100</v>
      </c>
      <c r="D15" s="8">
        <f>Data!K14</f>
        <v>83</v>
      </c>
      <c r="E15" s="8">
        <f>Data!L14</f>
        <v>95</v>
      </c>
      <c r="F15" s="9" t="str">
        <f>Data!M14</f>
        <v>n/a</v>
      </c>
      <c r="G15" s="9" t="str">
        <f>Data!N14</f>
        <v>n/a</v>
      </c>
      <c r="H15" s="9" t="str">
        <f>Data!O14</f>
        <v>n/a</v>
      </c>
      <c r="I15" s="9" t="str">
        <f>Data!P14</f>
        <v>n/a</v>
      </c>
      <c r="J15" s="9" t="str">
        <f>Data!Q14</f>
        <v>n/a</v>
      </c>
      <c r="K15" s="9" t="str">
        <f>Data!R14</f>
        <v>n/a</v>
      </c>
    </row>
    <row r="16" spans="1:11">
      <c r="A16" s="10" t="s">
        <v>15</v>
      </c>
      <c r="B16" s="11">
        <f>Data!I15</f>
        <v>-5.1724137931034475E-2</v>
      </c>
      <c r="C16" s="11">
        <f>Data!J15</f>
        <v>9.8901098901098994E-2</v>
      </c>
      <c r="D16" s="11">
        <f>Data!K15</f>
        <v>0.3833333333333333</v>
      </c>
      <c r="E16" s="11">
        <f>Data!L15</f>
        <v>0.89999999999999991</v>
      </c>
      <c r="F16" s="12" t="str">
        <f>Data!M15</f>
        <v>n/a</v>
      </c>
      <c r="G16" s="12" t="str">
        <f>Data!N15</f>
        <v>n/a</v>
      </c>
      <c r="H16" s="12" t="str">
        <f>Data!O15</f>
        <v>n/a</v>
      </c>
      <c r="I16" s="12" t="str">
        <f>Data!P15</f>
        <v>n/a</v>
      </c>
      <c r="J16" s="12" t="str">
        <f>Data!Q15</f>
        <v>n/a</v>
      </c>
      <c r="K16" s="12" t="str">
        <f>Data!R15</f>
        <v>n/a</v>
      </c>
    </row>
    <row r="17" spans="1:11">
      <c r="A17" s="10" t="s">
        <v>16</v>
      </c>
      <c r="B17" s="11">
        <f>Data!I16</f>
        <v>0.10000000000000009</v>
      </c>
      <c r="C17" s="11">
        <f>Data!J16</f>
        <v>0.81818181818181812</v>
      </c>
      <c r="D17" s="11">
        <f>Data!K16</f>
        <v>-0.17000000000000004</v>
      </c>
      <c r="E17" s="11">
        <f>Data!L16</f>
        <v>0.14457831325301207</v>
      </c>
      <c r="F17" s="12" t="str">
        <f>Data!M16</f>
        <v>n/a</v>
      </c>
      <c r="G17" s="12" t="str">
        <f>Data!N16</f>
        <v>n/a</v>
      </c>
      <c r="H17" s="12" t="str">
        <f>Data!O16</f>
        <v>n/a</v>
      </c>
      <c r="I17" s="12" t="str">
        <f>Data!P16</f>
        <v>n/a</v>
      </c>
      <c r="J17" s="12" t="str">
        <f>Data!Q16</f>
        <v>n/a</v>
      </c>
      <c r="K17" s="12" t="str">
        <f>Data!R16</f>
        <v>n/a</v>
      </c>
    </row>
    <row r="18" spans="1:11">
      <c r="A18" s="10" t="s">
        <v>17</v>
      </c>
      <c r="B18" s="11">
        <f>Data!I17</f>
        <v>-0.45378599360113758</v>
      </c>
      <c r="C18" s="11">
        <f>Data!J17</f>
        <v>0.2507998330783141</v>
      </c>
      <c r="D18" s="11">
        <f>Data!K17</f>
        <v>0.47424242424242413</v>
      </c>
      <c r="E18" s="11">
        <f>Data!L17</f>
        <v>0.70645161290322567</v>
      </c>
      <c r="F18" s="12" t="str">
        <f>Data!M17</f>
        <v>n/a</v>
      </c>
      <c r="G18" s="12" t="str">
        <f>Data!N17</f>
        <v>n/a</v>
      </c>
      <c r="H18" s="12" t="str">
        <f>Data!O17</f>
        <v>n/a</v>
      </c>
      <c r="I18" s="12" t="str">
        <f>Data!P17</f>
        <v>n/a</v>
      </c>
      <c r="J18" s="12" t="str">
        <f>Data!Q17</f>
        <v>n/a</v>
      </c>
      <c r="K18" s="12" t="str">
        <f>Data!R17</f>
        <v>n/a</v>
      </c>
    </row>
    <row r="19" spans="1:11">
      <c r="A19" s="10" t="s">
        <v>21</v>
      </c>
      <c r="B19" s="13" t="str">
        <f>Data!I160</f>
        <v>&gt;50%</v>
      </c>
      <c r="C19" s="13" t="str">
        <f>Data!J160</f>
        <v>&gt;60%</v>
      </c>
      <c r="D19" s="13" t="str">
        <f>Data!K160</f>
        <v>&gt;60%</v>
      </c>
      <c r="E19" s="13" t="str">
        <f>Data!L160</f>
        <v>~60-70%</v>
      </c>
      <c r="F19" s="14" t="str">
        <f>Data!M160</f>
        <v>n/a</v>
      </c>
      <c r="G19" s="14" t="str">
        <f>Data!N160</f>
        <v>n/a</v>
      </c>
      <c r="H19" s="14" t="str">
        <f>Data!O160</f>
        <v>n/a</v>
      </c>
      <c r="I19" s="14" t="str">
        <f>Data!P160</f>
        <v>n/a</v>
      </c>
      <c r="J19" s="14" t="str">
        <f>Data!Q160</f>
        <v>n/a</v>
      </c>
      <c r="K19" s="14" t="str">
        <f>Data!R160</f>
        <v>n/a</v>
      </c>
    </row>
    <row r="20" spans="1:11">
      <c r="A20" s="5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7" t="s">
        <v>23</v>
      </c>
      <c r="B21" s="8">
        <f>Data!I19</f>
        <v>111</v>
      </c>
      <c r="C21" s="8">
        <f>Data!J19</f>
        <v>158</v>
      </c>
      <c r="D21" s="8">
        <f>Data!K19</f>
        <v>120</v>
      </c>
      <c r="E21" s="8">
        <f>Data!L19</f>
        <v>130</v>
      </c>
      <c r="F21" s="9">
        <f>Data!M19</f>
        <v>115.2</v>
      </c>
      <c r="G21" s="9">
        <f>Data!N19</f>
        <v>131.5</v>
      </c>
      <c r="H21" s="9">
        <f>Data!O19</f>
        <v>111.1</v>
      </c>
      <c r="I21" s="9">
        <f>Data!P19</f>
        <v>114</v>
      </c>
      <c r="J21" s="9">
        <f>Data!Q19</f>
        <v>111.6</v>
      </c>
      <c r="K21" s="9">
        <f>Data!R19</f>
        <v>126.8</v>
      </c>
    </row>
    <row r="22" spans="1:11">
      <c r="A22" s="10" t="s">
        <v>15</v>
      </c>
      <c r="B22" s="11">
        <f>Data!I20</f>
        <v>3.7383177570093462E-2</v>
      </c>
      <c r="C22" s="11">
        <f>Data!J20</f>
        <v>-6.2893081761006275E-3</v>
      </c>
      <c r="D22" s="11">
        <f>Data!K20</f>
        <v>7.1428571428571397E-2</v>
      </c>
      <c r="E22" s="11">
        <f>Data!L20</f>
        <v>0.28712871287128716</v>
      </c>
      <c r="F22" s="12">
        <f>Data!M20</f>
        <v>3.7837837837837895E-2</v>
      </c>
      <c r="G22" s="12">
        <f>Data!N20</f>
        <v>-0.16772151898734178</v>
      </c>
      <c r="H22" s="12">
        <f>Data!O20</f>
        <v>-7.4166666666666714E-2</v>
      </c>
      <c r="I22" s="12">
        <f>Data!P20</f>
        <v>-0.12307692307692308</v>
      </c>
      <c r="J22" s="12">
        <f>Data!Q20</f>
        <v>-3.1250000000000111E-2</v>
      </c>
      <c r="K22" s="12">
        <f>Data!R20</f>
        <v>-3.5741444866920213E-2</v>
      </c>
    </row>
    <row r="23" spans="1:11">
      <c r="A23" s="10" t="s">
        <v>16</v>
      </c>
      <c r="B23" s="11">
        <f>Data!I21</f>
        <v>9.9009900990099098E-2</v>
      </c>
      <c r="C23" s="11">
        <f>Data!J21</f>
        <v>0.42342342342342332</v>
      </c>
      <c r="D23" s="11">
        <f>Data!K21</f>
        <v>-0.240506329113924</v>
      </c>
      <c r="E23" s="11">
        <f>Data!L21</f>
        <v>8.3333333333333259E-2</v>
      </c>
      <c r="F23" s="12">
        <f>Data!M21</f>
        <v>-0.11384615384615382</v>
      </c>
      <c r="G23" s="12">
        <f>Data!N21</f>
        <v>0.14149305555555558</v>
      </c>
      <c r="H23" s="12">
        <f>Data!O21</f>
        <v>-0.15513307984790881</v>
      </c>
      <c r="I23" s="12">
        <f>Data!P21</f>
        <v>2.6102610261026227E-2</v>
      </c>
      <c r="J23" s="12">
        <f>Data!Q21</f>
        <v>-2.1052631578947434E-2</v>
      </c>
      <c r="K23" s="12">
        <f>Data!R21</f>
        <v>0.13620071684587809</v>
      </c>
    </row>
    <row r="24" spans="1:11">
      <c r="A24" s="10" t="s">
        <v>17</v>
      </c>
      <c r="B24" s="11">
        <f>Data!I22</f>
        <v>-0.37470473451781866</v>
      </c>
      <c r="C24" s="11">
        <f>Data!J22</f>
        <v>-5.4193499792867139E-2</v>
      </c>
      <c r="D24" s="11">
        <f>Data!K22</f>
        <v>5.3884711779448535E-2</v>
      </c>
      <c r="E24" s="11">
        <f>Data!L22</f>
        <v>0.12879537953795384</v>
      </c>
      <c r="F24" s="12">
        <f>Data!M22</f>
        <v>7.5221015407931358E-2</v>
      </c>
      <c r="G24" s="12">
        <f>Data!N22</f>
        <v>-0.17401082716344241</v>
      </c>
      <c r="H24" s="12">
        <f>Data!O22</f>
        <v>-2.7380952380953172E-3</v>
      </c>
      <c r="I24" s="12">
        <f>Data!P22</f>
        <v>0.16405178979436408</v>
      </c>
      <c r="J24" s="12">
        <f>Data!Q22</f>
        <v>6.5878378378377844E-3</v>
      </c>
      <c r="K24" s="12">
        <f>Data!R22</f>
        <v>-0.20346296385426199</v>
      </c>
    </row>
    <row r="25" spans="1:11">
      <c r="A25" s="7" t="s">
        <v>24</v>
      </c>
      <c r="B25" s="8">
        <f>Data!I24</f>
        <v>104</v>
      </c>
      <c r="C25" s="8">
        <f>Data!J24</f>
        <v>150</v>
      </c>
      <c r="D25" s="8">
        <f>Data!K24</f>
        <v>114</v>
      </c>
      <c r="E25" s="8">
        <f>Data!L24</f>
        <v>122</v>
      </c>
      <c r="F25" s="9" t="str">
        <f>Data!M24</f>
        <v>n/a</v>
      </c>
      <c r="G25" s="9" t="str">
        <f>Data!N24</f>
        <v>n/a</v>
      </c>
      <c r="H25" s="9" t="str">
        <f>Data!O24</f>
        <v>n/a</v>
      </c>
      <c r="I25" s="9" t="str">
        <f>Data!P24</f>
        <v>n/a</v>
      </c>
      <c r="J25" s="9" t="str">
        <f>Data!Q24</f>
        <v>n/a</v>
      </c>
      <c r="K25" s="9" t="str">
        <f>Data!R24</f>
        <v>n/a</v>
      </c>
    </row>
    <row r="26" spans="1:11">
      <c r="A26" s="10" t="s">
        <v>15</v>
      </c>
      <c r="B26" s="11">
        <f>Data!I25</f>
        <v>6.1224489795918435E-2</v>
      </c>
      <c r="C26" s="11">
        <f>Data!J25</f>
        <v>4.1666666666666741E-2</v>
      </c>
      <c r="D26" s="11">
        <f>Data!K25</f>
        <v>0.10679611650485432</v>
      </c>
      <c r="E26" s="11">
        <f>Data!L25</f>
        <v>0.32608695652173902</v>
      </c>
      <c r="F26" s="12" t="str">
        <f>Data!M25</f>
        <v>n/a</v>
      </c>
      <c r="G26" s="12" t="str">
        <f>Data!N25</f>
        <v>n/a</v>
      </c>
      <c r="H26" s="12" t="str">
        <f>Data!O25</f>
        <v>n/a</v>
      </c>
      <c r="I26" s="12" t="str">
        <f>Data!P25</f>
        <v>n/a</v>
      </c>
      <c r="J26" s="12" t="str">
        <f>Data!Q25</f>
        <v>n/a</v>
      </c>
      <c r="K26" s="12" t="str">
        <f>Data!R25</f>
        <v>n/a</v>
      </c>
    </row>
    <row r="27" spans="1:11">
      <c r="A27" s="10" t="s">
        <v>16</v>
      </c>
      <c r="B27" s="11">
        <f>Data!I26</f>
        <v>0.13043478260869557</v>
      </c>
      <c r="C27" s="11">
        <f>Data!J26</f>
        <v>0.44230769230769229</v>
      </c>
      <c r="D27" s="11">
        <f>Data!K26</f>
        <v>-0.24</v>
      </c>
      <c r="E27" s="11">
        <f>Data!L26</f>
        <v>7.0175438596491224E-2</v>
      </c>
      <c r="F27" s="12" t="str">
        <f>Data!M26</f>
        <v>n/a</v>
      </c>
      <c r="G27" s="12" t="str">
        <f>Data!N26</f>
        <v>n/a</v>
      </c>
      <c r="H27" s="12" t="str">
        <f>Data!O26</f>
        <v>n/a</v>
      </c>
      <c r="I27" s="12" t="str">
        <f>Data!P26</f>
        <v>n/a</v>
      </c>
      <c r="J27" s="12" t="str">
        <f>Data!Q26</f>
        <v>n/a</v>
      </c>
      <c r="K27" s="12" t="str">
        <f>Data!R26</f>
        <v>n/a</v>
      </c>
    </row>
    <row r="28" spans="1:11">
      <c r="A28" s="10" t="s">
        <v>17</v>
      </c>
      <c r="B28" s="11" t="str">
        <f>Data!I27</f>
        <v>n/a</v>
      </c>
      <c r="C28" s="11" t="str">
        <f>Data!J27</f>
        <v>n/a</v>
      </c>
      <c r="D28" s="11">
        <f>Data!K27</f>
        <v>0.13679611650485435</v>
      </c>
      <c r="E28" s="11">
        <f>Data!L27</f>
        <v>0.15491578535056783</v>
      </c>
      <c r="F28" s="12" t="str">
        <f>Data!M27</f>
        <v>n/a</v>
      </c>
      <c r="G28" s="12" t="str">
        <f>Data!N27</f>
        <v>n/a</v>
      </c>
      <c r="H28" s="12" t="str">
        <f>Data!O27</f>
        <v>n/a</v>
      </c>
      <c r="I28" s="12" t="str">
        <f>Data!P27</f>
        <v>n/a</v>
      </c>
      <c r="J28" s="12" t="str">
        <f>Data!Q27</f>
        <v>n/a</v>
      </c>
      <c r="K28" s="12" t="str">
        <f>Data!R27</f>
        <v>n/a</v>
      </c>
    </row>
    <row r="29" spans="1:11">
      <c r="A29" s="5" t="s">
        <v>25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7" t="s">
        <v>26</v>
      </c>
      <c r="B30" s="8">
        <f>Data!I29</f>
        <v>816</v>
      </c>
      <c r="C30" s="8">
        <f>Data!J29</f>
        <v>832</v>
      </c>
      <c r="D30" s="8">
        <f>Data!K29</f>
        <v>797</v>
      </c>
      <c r="E30" s="8">
        <f>Data!L29</f>
        <v>852</v>
      </c>
      <c r="F30" s="9">
        <f>Data!M29</f>
        <v>861</v>
      </c>
      <c r="G30" s="9">
        <f>Data!N29</f>
        <v>894.2</v>
      </c>
      <c r="H30" s="9">
        <f>Data!O29</f>
        <v>862.8</v>
      </c>
      <c r="I30" s="9">
        <f>Data!P29</f>
        <v>914.1</v>
      </c>
      <c r="J30" s="9">
        <f>Data!Q29</f>
        <v>931.5</v>
      </c>
      <c r="K30" s="9">
        <f>Data!R29</f>
        <v>966.6</v>
      </c>
    </row>
    <row r="31" spans="1:11">
      <c r="A31" s="10" t="s">
        <v>15</v>
      </c>
      <c r="B31" s="11">
        <f>Data!I30</f>
        <v>1.1152416356877248E-2</v>
      </c>
      <c r="C31" s="11">
        <f>Data!J30</f>
        <v>6.8035943517329889E-2</v>
      </c>
      <c r="D31" s="11">
        <f>Data!K30</f>
        <v>3.7760416666666741E-2</v>
      </c>
      <c r="E31" s="11">
        <f>Data!L30</f>
        <v>5.0554870530209683E-2</v>
      </c>
      <c r="F31" s="12">
        <f>Data!M30</f>
        <v>5.5147058823529438E-2</v>
      </c>
      <c r="G31" s="12">
        <f>Data!N30</f>
        <v>7.4759615384615508E-2</v>
      </c>
      <c r="H31" s="12">
        <f>Data!O30</f>
        <v>8.2559598494353681E-2</v>
      </c>
      <c r="I31" s="12">
        <f>Data!P30</f>
        <v>7.2887323943662041E-2</v>
      </c>
      <c r="J31" s="12">
        <f>Data!Q30</f>
        <v>8.1881533101045401E-2</v>
      </c>
      <c r="K31" s="12">
        <f>Data!R30</f>
        <v>8.0966226794900509E-2</v>
      </c>
    </row>
    <row r="32" spans="1:11">
      <c r="A32" s="10" t="s">
        <v>16</v>
      </c>
      <c r="B32" s="11">
        <f>Data!I31</f>
        <v>6.1652281134401132E-3</v>
      </c>
      <c r="C32" s="11">
        <f>Data!J31</f>
        <v>1.9607843137254832E-2</v>
      </c>
      <c r="D32" s="11">
        <f>Data!K31</f>
        <v>-4.2067307692307709E-2</v>
      </c>
      <c r="E32" s="11">
        <f>Data!L31</f>
        <v>6.9008782936009982E-2</v>
      </c>
      <c r="F32" s="12">
        <f>Data!M31</f>
        <v>1.0563380281690238E-2</v>
      </c>
      <c r="G32" s="12">
        <f>Data!N31</f>
        <v>3.8559814169570217E-2</v>
      </c>
      <c r="H32" s="12">
        <f>Data!O31</f>
        <v>-3.5115186759114403E-2</v>
      </c>
      <c r="I32" s="12">
        <f>Data!P31</f>
        <v>5.9457579972183705E-2</v>
      </c>
      <c r="J32" s="12">
        <f>Data!Q31</f>
        <v>1.9035116508040684E-2</v>
      </c>
      <c r="K32" s="12">
        <f>Data!R31</f>
        <v>3.7681159420289934E-2</v>
      </c>
    </row>
    <row r="33" spans="1:11">
      <c r="A33" s="10" t="s">
        <v>17</v>
      </c>
      <c r="B33" s="11">
        <f>Data!I32</f>
        <v>6.4677220534423041E-2</v>
      </c>
      <c r="C33" s="11">
        <f>Data!J32</f>
        <v>9.8459223940610352E-2</v>
      </c>
      <c r="D33" s="11">
        <f>Data!K32</f>
        <v>3.7760416666666741E-2</v>
      </c>
      <c r="E33" s="11">
        <f>Data!L32</f>
        <v>4.5646895070087012E-2</v>
      </c>
      <c r="F33" s="12">
        <f>Data!M32</f>
        <v>6.6299475180406686E-2</v>
      </c>
      <c r="G33" s="12">
        <f>Data!N32</f>
        <v>0.1427955589019454</v>
      </c>
      <c r="H33" s="12">
        <f>Data!O32</f>
        <v>0.12032001516102042</v>
      </c>
      <c r="I33" s="12">
        <f>Data!P32</f>
        <v>0.12344219447387172</v>
      </c>
      <c r="J33" s="12">
        <f>Data!Q32</f>
        <v>0.13702859192457484</v>
      </c>
      <c r="K33" s="12">
        <f>Data!R32</f>
        <v>0.15572584217951602</v>
      </c>
    </row>
    <row r="34" spans="1:11">
      <c r="A34" s="7" t="s">
        <v>27</v>
      </c>
      <c r="B34" s="8">
        <f>Data!I34</f>
        <v>747</v>
      </c>
      <c r="C34" s="8">
        <f>Data!J34</f>
        <v>755</v>
      </c>
      <c r="D34" s="8">
        <f>Data!K34</f>
        <v>726</v>
      </c>
      <c r="E34" s="8">
        <f>Data!L34</f>
        <v>775</v>
      </c>
      <c r="F34" s="9">
        <f>Data!M34</f>
        <v>789.2</v>
      </c>
      <c r="G34" s="9">
        <f>Data!N34</f>
        <v>814.9</v>
      </c>
      <c r="H34" s="9">
        <f>Data!O34</f>
        <v>792.1</v>
      </c>
      <c r="I34" s="9">
        <f>Data!P34</f>
        <v>838.9</v>
      </c>
      <c r="J34" s="9">
        <f>Data!Q34</f>
        <v>859.8</v>
      </c>
      <c r="K34" s="9">
        <f>Data!R34</f>
        <v>888.1</v>
      </c>
    </row>
    <row r="35" spans="1:11">
      <c r="A35" s="10" t="s">
        <v>15</v>
      </c>
      <c r="B35" s="11">
        <f>Data!I35</f>
        <v>8.0971659919029104E-3</v>
      </c>
      <c r="C35" s="11">
        <f>Data!J35</f>
        <v>8.1661891117478458E-2</v>
      </c>
      <c r="D35" s="11">
        <f>Data!K35</f>
        <v>4.31034482758621E-2</v>
      </c>
      <c r="E35" s="11">
        <f>Data!L35</f>
        <v>4.7297297297297369E-2</v>
      </c>
      <c r="F35" s="12">
        <f>Data!M35</f>
        <v>5.6492637215528774E-2</v>
      </c>
      <c r="G35" s="12">
        <f>Data!N35</f>
        <v>7.9337748344370906E-2</v>
      </c>
      <c r="H35" s="12">
        <f>Data!O35</f>
        <v>9.1046831955923002E-2</v>
      </c>
      <c r="I35" s="12">
        <f>Data!P35</f>
        <v>8.2451612903225779E-2</v>
      </c>
      <c r="J35" s="12">
        <f>Data!Q35</f>
        <v>8.9457678661936102E-2</v>
      </c>
      <c r="K35" s="12">
        <f>Data!R35</f>
        <v>8.9826972634679203E-2</v>
      </c>
    </row>
    <row r="36" spans="1:11">
      <c r="A36" s="10" t="s">
        <v>16</v>
      </c>
      <c r="B36" s="11">
        <f>Data!I36</f>
        <v>9.4594594594594739E-3</v>
      </c>
      <c r="C36" s="11">
        <f>Data!J36</f>
        <v>1.0709504685408211E-2</v>
      </c>
      <c r="D36" s="11">
        <f>Data!K36</f>
        <v>-3.8410596026490107E-2</v>
      </c>
      <c r="E36" s="11">
        <f>Data!L36</f>
        <v>6.7493112947658362E-2</v>
      </c>
      <c r="F36" s="12">
        <f>Data!M36</f>
        <v>1.8322580645161457E-2</v>
      </c>
      <c r="G36" s="12">
        <f>Data!N36</f>
        <v>3.2564622402432741E-2</v>
      </c>
      <c r="H36" s="12">
        <f>Data!O36</f>
        <v>-2.7978893115719661E-2</v>
      </c>
      <c r="I36" s="12">
        <f>Data!P36</f>
        <v>5.9083449059462056E-2</v>
      </c>
      <c r="J36" s="12">
        <f>Data!Q36</f>
        <v>2.4913577303611767E-2</v>
      </c>
      <c r="K36" s="12">
        <f>Data!R36</f>
        <v>3.2914631309606923E-2</v>
      </c>
    </row>
    <row r="37" spans="1:11">
      <c r="A37" s="10" t="s">
        <v>17</v>
      </c>
      <c r="B37" s="11">
        <f>Data!I37</f>
        <v>8.3568864105110441E-2</v>
      </c>
      <c r="C37" s="11">
        <f>Data!J37</f>
        <v>0.10512230167466319</v>
      </c>
      <c r="D37" s="11">
        <f>Data!K37</f>
        <v>4.1668728046306835E-2</v>
      </c>
      <c r="E37" s="11">
        <f>Data!L37</f>
        <v>5.1367853606659741E-2</v>
      </c>
      <c r="F37" s="12">
        <f>Data!M37</f>
        <v>6.4589803207431684E-2</v>
      </c>
      <c r="G37" s="12">
        <f>Data!N37</f>
        <v>0.16099963946184936</v>
      </c>
      <c r="H37" s="12">
        <f>Data!O37</f>
        <v>0.1341502802317851</v>
      </c>
      <c r="I37" s="12">
        <f>Data!P37</f>
        <v>0.12974891020052315</v>
      </c>
      <c r="J37" s="12">
        <f>Data!Q37</f>
        <v>0.14595031587746488</v>
      </c>
      <c r="K37" s="12">
        <f>Data!R37</f>
        <v>0.16916472097905011</v>
      </c>
    </row>
    <row r="38" spans="1:11">
      <c r="A38" s="7" t="s">
        <v>28</v>
      </c>
      <c r="B38" s="8">
        <f>Data!I39</f>
        <v>707</v>
      </c>
      <c r="C38" s="8">
        <f>Data!J39</f>
        <v>713</v>
      </c>
      <c r="D38" s="8">
        <f>Data!K39</f>
        <v>687</v>
      </c>
      <c r="E38" s="8">
        <f>Data!L39</f>
        <v>734</v>
      </c>
      <c r="F38" s="9" t="str">
        <f>Data!M39</f>
        <v>n/a</v>
      </c>
      <c r="G38" s="9" t="str">
        <f>Data!N39</f>
        <v>n/a</v>
      </c>
      <c r="H38" s="9" t="str">
        <f>Data!O39</f>
        <v>n/a</v>
      </c>
      <c r="I38" s="9" t="str">
        <f>Data!P39</f>
        <v>n/a</v>
      </c>
      <c r="J38" s="9" t="str">
        <f>Data!Q39</f>
        <v>n/a</v>
      </c>
      <c r="K38" s="9" t="str">
        <f>Data!R39</f>
        <v>n/a</v>
      </c>
    </row>
    <row r="39" spans="1:11">
      <c r="A39" s="10" t="s">
        <v>15</v>
      </c>
      <c r="B39" s="11">
        <f>Data!I40</f>
        <v>3.3625730994152114E-2</v>
      </c>
      <c r="C39" s="11">
        <f>Data!J40</f>
        <v>0.11406249999999996</v>
      </c>
      <c r="D39" s="11">
        <f>Data!K40</f>
        <v>7.3437500000000044E-2</v>
      </c>
      <c r="E39" s="11">
        <f>Data!L40</f>
        <v>6.3768115942028913E-2</v>
      </c>
      <c r="F39" s="12" t="str">
        <f>Data!M40</f>
        <v>n/a</v>
      </c>
      <c r="G39" s="12" t="str">
        <f>Data!N40</f>
        <v>n/a</v>
      </c>
      <c r="H39" s="12" t="str">
        <f>Data!O40</f>
        <v>n/a</v>
      </c>
      <c r="I39" s="12" t="str">
        <f>Data!P40</f>
        <v>n/a</v>
      </c>
      <c r="J39" s="12" t="str">
        <f>Data!Q40</f>
        <v>n/a</v>
      </c>
      <c r="K39" s="12" t="str">
        <f>Data!R40</f>
        <v>n/a</v>
      </c>
    </row>
    <row r="40" spans="1:11">
      <c r="A40" s="10" t="s">
        <v>16</v>
      </c>
      <c r="B40" s="11">
        <f>Data!I41</f>
        <v>2.4637681159420222E-2</v>
      </c>
      <c r="C40" s="11">
        <f>Data!J41</f>
        <v>8.4865629420085575E-3</v>
      </c>
      <c r="D40" s="11">
        <f>Data!K41</f>
        <v>-3.6465638148667656E-2</v>
      </c>
      <c r="E40" s="11">
        <f>Data!L41</f>
        <v>6.8413391557496261E-2</v>
      </c>
      <c r="F40" s="12" t="str">
        <f>Data!M41</f>
        <v>n/a</v>
      </c>
      <c r="G40" s="12" t="str">
        <f>Data!N41</f>
        <v>n/a</v>
      </c>
      <c r="H40" s="12" t="str">
        <f>Data!O41</f>
        <v>n/a</v>
      </c>
      <c r="I40" s="12" t="str">
        <f>Data!P41</f>
        <v>n/a</v>
      </c>
      <c r="J40" s="12" t="str">
        <f>Data!Q41</f>
        <v>n/a</v>
      </c>
      <c r="K40" s="12" t="str">
        <f>Data!R41</f>
        <v>n/a</v>
      </c>
    </row>
    <row r="41" spans="1:11">
      <c r="A41" s="10" t="s">
        <v>17</v>
      </c>
      <c r="B41" s="11">
        <f>Data!I42</f>
        <v>0.12362573099415211</v>
      </c>
      <c r="C41" s="11">
        <f>Data!J42</f>
        <v>0.13406249999999995</v>
      </c>
      <c r="D41" s="11">
        <f>Data!K42</f>
        <v>7.0322235202492256E-2</v>
      </c>
      <c r="E41" s="11">
        <f>Data!L42</f>
        <v>7.9968410492838871E-2</v>
      </c>
      <c r="F41" s="12" t="str">
        <f>Data!M42</f>
        <v>n/a</v>
      </c>
      <c r="G41" s="12" t="str">
        <f>Data!N42</f>
        <v>n/a</v>
      </c>
      <c r="H41" s="12" t="str">
        <f>Data!O42</f>
        <v>n/a</v>
      </c>
      <c r="I41" s="12" t="str">
        <f>Data!P42</f>
        <v>n/a</v>
      </c>
      <c r="J41" s="12" t="str">
        <f>Data!Q42</f>
        <v>n/a</v>
      </c>
      <c r="K41" s="12" t="str">
        <f>Data!R42</f>
        <v>n/a</v>
      </c>
    </row>
    <row r="42" spans="1:11">
      <c r="A42" s="5" t="s">
        <v>29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7" t="s">
        <v>30</v>
      </c>
      <c r="B43" s="15">
        <f>Data!I44</f>
        <v>0.12</v>
      </c>
      <c r="C43" s="15">
        <f>Data!J44</f>
        <v>0.2</v>
      </c>
      <c r="D43" s="15">
        <f>Data!K44</f>
        <v>0.2</v>
      </c>
      <c r="E43" s="15">
        <f>Data!L44</f>
        <v>0.15</v>
      </c>
      <c r="F43" s="16" t="str">
        <f>Data!M44</f>
        <v>n/a</v>
      </c>
      <c r="G43" s="16" t="str">
        <f>Data!N44</f>
        <v>n/a</v>
      </c>
      <c r="H43" s="16" t="str">
        <f>Data!O44</f>
        <v>n/a</v>
      </c>
      <c r="I43" s="16" t="str">
        <f>Data!P44</f>
        <v>n/a</v>
      </c>
      <c r="J43" s="16" t="str">
        <f>Data!Q44</f>
        <v>n/a</v>
      </c>
      <c r="K43" s="16" t="str">
        <f>Data!R44</f>
        <v>n/a</v>
      </c>
    </row>
    <row r="44" spans="1:11">
      <c r="A44" s="10" t="s">
        <v>17</v>
      </c>
      <c r="B44" s="11">
        <f>Data!I45</f>
        <v>0.22999999999999998</v>
      </c>
      <c r="C44" s="11">
        <f>Data!J45</f>
        <v>0.28000000000000003</v>
      </c>
      <c r="D44" s="11">
        <f>Data!K45</f>
        <v>0.28000000000000003</v>
      </c>
      <c r="E44" s="11">
        <f>Data!L45</f>
        <v>0.25</v>
      </c>
      <c r="F44" s="12" t="str">
        <f>Data!M45</f>
        <v>n/a</v>
      </c>
      <c r="G44" s="12" t="str">
        <f>Data!N45</f>
        <v>n/a</v>
      </c>
      <c r="H44" s="12" t="str">
        <f>Data!O45</f>
        <v>n/a</v>
      </c>
      <c r="I44" s="12" t="str">
        <f>Data!P45</f>
        <v>n/a</v>
      </c>
      <c r="J44" s="12" t="str">
        <f>Data!Q45</f>
        <v>n/a</v>
      </c>
      <c r="K44" s="12" t="str">
        <f>Data!R45</f>
        <v>n/a</v>
      </c>
    </row>
    <row r="45" spans="1:11">
      <c r="A45" s="7" t="s">
        <v>31</v>
      </c>
      <c r="B45" s="15">
        <f>Data!I47</f>
        <v>-0.08</v>
      </c>
      <c r="C45" s="15">
        <f>Data!J47</f>
        <v>0</v>
      </c>
      <c r="D45" s="15">
        <f>Data!K47</f>
        <v>-0.12</v>
      </c>
      <c r="E45" s="15">
        <f>Data!L47</f>
        <v>-7.0000000000000007E-2</v>
      </c>
      <c r="F45" s="16" t="str">
        <f>Data!M47</f>
        <v>n/a</v>
      </c>
      <c r="G45" s="16" t="str">
        <f>Data!N47</f>
        <v>n/a</v>
      </c>
      <c r="H45" s="16" t="str">
        <f>Data!O47</f>
        <v>n/a</v>
      </c>
      <c r="I45" s="16" t="str">
        <f>Data!P47</f>
        <v>n/a</v>
      </c>
      <c r="J45" s="16" t="str">
        <f>Data!Q47</f>
        <v>n/a</v>
      </c>
      <c r="K45" s="16" t="str">
        <f>Data!R47</f>
        <v>n/a</v>
      </c>
    </row>
    <row r="46" spans="1:11">
      <c r="A46" s="10" t="s">
        <v>17</v>
      </c>
      <c r="B46" s="11">
        <f>Data!I48</f>
        <v>-2.0000000000000004E-2</v>
      </c>
      <c r="C46" s="11">
        <f>Data!J48</f>
        <v>-0.05</v>
      </c>
      <c r="D46" s="11">
        <f>Data!K48</f>
        <v>-0.22999999999999998</v>
      </c>
      <c r="E46" s="11">
        <f>Data!L48</f>
        <v>-0.16</v>
      </c>
      <c r="F46" s="12" t="str">
        <f>Data!M48</f>
        <v>n/a</v>
      </c>
      <c r="G46" s="12" t="str">
        <f>Data!N48</f>
        <v>n/a</v>
      </c>
      <c r="H46" s="12" t="str">
        <f>Data!O48</f>
        <v>n/a</v>
      </c>
      <c r="I46" s="12" t="str">
        <f>Data!P48</f>
        <v>n/a</v>
      </c>
      <c r="J46" s="12" t="str">
        <f>Data!Q48</f>
        <v>n/a</v>
      </c>
      <c r="K46" s="12" t="str">
        <f>Data!R48</f>
        <v>n/a</v>
      </c>
    </row>
    <row r="47" spans="1:11">
      <c r="A47" s="5" t="s">
        <v>32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7" t="s">
        <v>33</v>
      </c>
      <c r="B48" s="17" t="str">
        <f>Data!I158</f>
        <v>&gt;30%</v>
      </c>
      <c r="C48" s="17" t="str">
        <f>Data!J158</f>
        <v>&gt;30%</v>
      </c>
      <c r="D48" s="17" t="str">
        <f>Data!K158</f>
        <v>&gt;30%</v>
      </c>
      <c r="E48" s="17" t="str">
        <f>Data!L158</f>
        <v>&gt;30%</v>
      </c>
      <c r="F48" s="18" t="str">
        <f>Data!M158</f>
        <v>n/a</v>
      </c>
      <c r="G48" s="18" t="str">
        <f>Data!N158</f>
        <v>n/a</v>
      </c>
      <c r="H48" s="18" t="str">
        <f>Data!O158</f>
        <v>n/a</v>
      </c>
      <c r="I48" s="18" t="str">
        <f>Data!P158</f>
        <v>n/a</v>
      </c>
      <c r="J48" s="18" t="str">
        <f>Data!Q158</f>
        <v>n/a</v>
      </c>
      <c r="K48" s="18" t="str">
        <f>Data!R158</f>
        <v>n/a</v>
      </c>
    </row>
    <row r="49" spans="1:11">
      <c r="A49" s="10" t="s">
        <v>17</v>
      </c>
      <c r="B49" s="13" t="str">
        <f>Data!I159</f>
        <v>&gt;70%</v>
      </c>
      <c r="C49" s="13" t="str">
        <f>Data!J159</f>
        <v>&gt;60%</v>
      </c>
      <c r="D49" s="13" t="str">
        <f>Data!K159</f>
        <v>&gt;60%</v>
      </c>
      <c r="E49" s="13" t="str">
        <f>Data!L159</f>
        <v>&gt;60%</v>
      </c>
      <c r="F49" s="14" t="str">
        <f>Data!M159</f>
        <v>n/a</v>
      </c>
      <c r="G49" s="14" t="str">
        <f>Data!N159</f>
        <v>n/a</v>
      </c>
      <c r="H49" s="14" t="str">
        <f>Data!O159</f>
        <v>n/a</v>
      </c>
      <c r="I49" s="14" t="str">
        <f>Data!P159</f>
        <v>n/a</v>
      </c>
      <c r="J49" s="14" t="str">
        <f>Data!Q159</f>
        <v>n/a</v>
      </c>
      <c r="K49" s="14" t="str">
        <f>Data!R159</f>
        <v>n/a</v>
      </c>
    </row>
    <row r="50" spans="1:11">
      <c r="A50" s="19" t="s">
        <v>34</v>
      </c>
      <c r="B50" s="20">
        <f>Data!I96</f>
        <v>0.78</v>
      </c>
      <c r="C50" s="20">
        <f>Data!J96</f>
        <v>0.8</v>
      </c>
      <c r="D50" s="20">
        <f>Data!K96</f>
        <v>0.82</v>
      </c>
      <c r="E50" s="20">
        <f>Data!L96</f>
        <v>0.83</v>
      </c>
      <c r="F50" s="21" t="str">
        <f>Data!M96</f>
        <v>n/a</v>
      </c>
      <c r="G50" s="21" t="str">
        <f>Data!N96</f>
        <v>n/a</v>
      </c>
      <c r="H50" s="21" t="str">
        <f>Data!O96</f>
        <v>n/a</v>
      </c>
      <c r="I50" s="21" t="str">
        <f>Data!P96</f>
        <v>n/a</v>
      </c>
      <c r="J50" s="21" t="str">
        <f>Data!Q96</f>
        <v>n/a</v>
      </c>
      <c r="K50" s="21" t="str">
        <f>Data!R96</f>
        <v>n/a</v>
      </c>
    </row>
    <row r="51" spans="1:11">
      <c r="A51" s="19" t="s">
        <v>35</v>
      </c>
      <c r="B51" s="20">
        <f>Data!I98</f>
        <v>0.51</v>
      </c>
      <c r="C51" s="20">
        <f>Data!J98</f>
        <v>0.55000000000000004</v>
      </c>
      <c r="D51" s="20">
        <f>Data!K98</f>
        <v>0.55000000000000004</v>
      </c>
      <c r="E51" s="20">
        <f>Data!L98</f>
        <v>0.59</v>
      </c>
      <c r="F51" s="21" t="str">
        <f>Data!M98</f>
        <v>n/a</v>
      </c>
      <c r="G51" s="21" t="str">
        <f>Data!N98</f>
        <v>n/a</v>
      </c>
      <c r="H51" s="21" t="str">
        <f>Data!O98</f>
        <v>n/a</v>
      </c>
      <c r="I51" s="21" t="str">
        <f>Data!P98</f>
        <v>n/a</v>
      </c>
      <c r="J51" s="21" t="str">
        <f>Data!Q98</f>
        <v>n/a</v>
      </c>
      <c r="K51" s="21" t="str">
        <f>Data!R98</f>
        <v>n/a</v>
      </c>
    </row>
    <row r="52" spans="1:11">
      <c r="A52" s="7" t="s">
        <v>36</v>
      </c>
      <c r="B52" s="15">
        <f>Data!I155</f>
        <v>-0.22454064154469011</v>
      </c>
      <c r="C52" s="15">
        <f>Data!J155</f>
        <v>-0.16795239144809349</v>
      </c>
      <c r="D52" s="15">
        <f>Data!K155</f>
        <v>-0.19761273209549068</v>
      </c>
      <c r="E52" s="15">
        <f>Data!L155</f>
        <v>-0.19438669438669431</v>
      </c>
      <c r="F52" s="16">
        <f>Data!M155</f>
        <v>-0.18731335598805476</v>
      </c>
      <c r="G52" s="16">
        <f>Data!N155</f>
        <v>-0.16974019358125314</v>
      </c>
      <c r="H52" s="16">
        <f>Data!O155</f>
        <v>-0.16073320618775155</v>
      </c>
      <c r="I52" s="16">
        <f>Data!P155</f>
        <v>-0.16734491315136479</v>
      </c>
      <c r="J52" s="16">
        <f>Data!Q155</f>
        <v>-0.16195563179851069</v>
      </c>
      <c r="K52" s="16">
        <f>Data!R155</f>
        <v>-0.16167155951178525</v>
      </c>
    </row>
    <row r="53" spans="1:11">
      <c r="A53" s="10" t="s">
        <v>17</v>
      </c>
      <c r="B53" s="11">
        <f>Data!I156</f>
        <v>-0.39725471991914585</v>
      </c>
      <c r="C53" s="11">
        <f>Data!J156</f>
        <v>-0.38067515255795137</v>
      </c>
      <c r="D53" s="11">
        <f>Data!K156</f>
        <v>-0.42948559381053319</v>
      </c>
      <c r="E53" s="11">
        <f>Data!L156</f>
        <v>-0.42202472799487711</v>
      </c>
      <c r="F53" s="12">
        <f>Data!M156</f>
        <v>-0.41185399753274488</v>
      </c>
      <c r="G53" s="12">
        <f>Data!N156</f>
        <v>-0.33769258502934663</v>
      </c>
      <c r="H53" s="12">
        <f>Data!O156</f>
        <v>-0.35834593828324224</v>
      </c>
      <c r="I53" s="12">
        <f>Data!P156</f>
        <v>-0.36173160753805911</v>
      </c>
      <c r="J53" s="12">
        <f>Data!Q156</f>
        <v>-0.34926898778656545</v>
      </c>
      <c r="K53" s="12">
        <f>Data!R156</f>
        <v>-0.33141175309303839</v>
      </c>
    </row>
    <row r="54" spans="1:11">
      <c r="A54" s="5" t="s">
        <v>37</v>
      </c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7" t="s">
        <v>38</v>
      </c>
      <c r="B55" s="15">
        <f>Data!I100</f>
        <v>0.69188191881918815</v>
      </c>
      <c r="C55" s="15">
        <f>Data!J100</f>
        <v>0.67040552200172565</v>
      </c>
      <c r="D55" s="15">
        <f>Data!K100</f>
        <v>0.68194317140238314</v>
      </c>
      <c r="E55" s="15">
        <f>Data!L100</f>
        <v>0.68162208800690249</v>
      </c>
      <c r="F55" s="16">
        <f>Data!M100</f>
        <v>0.68844221105527637</v>
      </c>
      <c r="G55" s="16">
        <f>Data!N100</f>
        <v>0.68683390719790127</v>
      </c>
      <c r="H55" s="16">
        <f>Data!O100</f>
        <v>0.68747844084166965</v>
      </c>
      <c r="I55" s="16">
        <f>Data!P100</f>
        <v>0.69149285596978161</v>
      </c>
      <c r="J55" s="16">
        <f>Data!Q100</f>
        <v>0.69329645297754638</v>
      </c>
      <c r="K55" s="16">
        <f>Data!R100</f>
        <v>0.68993267817070347</v>
      </c>
    </row>
    <row r="56" spans="1:11">
      <c r="A56" s="10" t="s">
        <v>39</v>
      </c>
      <c r="B56" s="22">
        <f>Data!I118</f>
        <v>-127.4771081044146</v>
      </c>
      <c r="C56" s="22">
        <f>Data!J118</f>
        <v>-44.133185779845483</v>
      </c>
      <c r="D56" s="22">
        <f>Data!K118</f>
        <v>75.915863879739703</v>
      </c>
      <c r="E56" s="22">
        <f>Data!L118</f>
        <v>-124.28903494513976</v>
      </c>
      <c r="F56" s="23">
        <f>Data!M118</f>
        <v>-34.397077639117811</v>
      </c>
      <c r="G56" s="23">
        <f>Data!N118</f>
        <v>164.2838519617562</v>
      </c>
      <c r="H56" s="23">
        <f>Data!O118</f>
        <v>55.352694392865054</v>
      </c>
      <c r="I56" s="23">
        <f>Data!P118</f>
        <v>98.707679628791126</v>
      </c>
      <c r="J56" s="23">
        <f>Data!Q118</f>
        <v>48.542419222700197</v>
      </c>
      <c r="K56" s="23">
        <f>Data!R118</f>
        <v>30.987709728022004</v>
      </c>
    </row>
    <row r="57" spans="1:11">
      <c r="A57" s="10" t="s">
        <v>40</v>
      </c>
      <c r="B57" s="22">
        <f>Data!I119</f>
        <v>-21.690726822283235</v>
      </c>
      <c r="C57" s="22">
        <f>Data!J119</f>
        <v>-214.76396817462495</v>
      </c>
      <c r="D57" s="22">
        <f>Data!K119</f>
        <v>115.3764940065749</v>
      </c>
      <c r="E57" s="22">
        <f>Data!L119</f>
        <v>-3.2108339548064802</v>
      </c>
      <c r="F57" s="23">
        <f>Data!M119</f>
        <v>68.201230483738712</v>
      </c>
      <c r="G57" s="23">
        <f>Data!N119</f>
        <v>-16.08303857375093</v>
      </c>
      <c r="H57" s="23">
        <f>Data!O119</f>
        <v>6.4453364376837463</v>
      </c>
      <c r="I57" s="23">
        <f>Data!P119</f>
        <v>40.144151281119591</v>
      </c>
      <c r="J57" s="23">
        <f>Data!Q119</f>
        <v>18.035970077647789</v>
      </c>
      <c r="K57" s="23">
        <f>Data!R119</f>
        <v>-33.637748068429119</v>
      </c>
    </row>
    <row r="58" spans="1:11">
      <c r="A58" s="7" t="s">
        <v>41</v>
      </c>
      <c r="B58" s="15">
        <f>Data!I102</f>
        <v>0.24446494464944649</v>
      </c>
      <c r="C58" s="15">
        <f>Data!J102</f>
        <v>0.23727351164797239</v>
      </c>
      <c r="D58" s="15">
        <f>Data!K102</f>
        <v>0.21906507791017416</v>
      </c>
      <c r="E58" s="15">
        <f>Data!L102</f>
        <v>0.22433132010353754</v>
      </c>
      <c r="F58" s="16">
        <f>Data!M102</f>
        <v>0.23999306879223703</v>
      </c>
      <c r="G58" s="16">
        <f>Data!N102</f>
        <v>0.25536973274307262</v>
      </c>
      <c r="H58" s="16">
        <f>Data!O102</f>
        <v>0.23447740600206968</v>
      </c>
      <c r="I58" s="16">
        <f>Data!P102</f>
        <v>0.24618163902118576</v>
      </c>
      <c r="J58" s="16">
        <f>Data!Q102</f>
        <v>0.25650829808005204</v>
      </c>
      <c r="K58" s="16">
        <f>Data!R102</f>
        <v>0.26719801903582763</v>
      </c>
    </row>
    <row r="59" spans="1:11">
      <c r="A59" s="10" t="s">
        <v>39</v>
      </c>
      <c r="B59" s="22">
        <f>Data!I121</f>
        <v>185.39018723520567</v>
      </c>
      <c r="C59" s="22">
        <f>Data!J121</f>
        <v>398.0974353203037</v>
      </c>
      <c r="D59" s="22">
        <f>Data!K121</f>
        <v>154.14741694996431</v>
      </c>
      <c r="E59" s="22">
        <f>Data!L121</f>
        <v>-136.29019839805244</v>
      </c>
      <c r="F59" s="23">
        <f>Data!M121</f>
        <v>-44.718758572094565</v>
      </c>
      <c r="G59" s="23">
        <f>Data!N121</f>
        <v>180.96221095100228</v>
      </c>
      <c r="H59" s="23">
        <f>Data!O121</f>
        <v>154.12328091895523</v>
      </c>
      <c r="I59" s="23">
        <f>Data!P121</f>
        <v>218.50318917648215</v>
      </c>
      <c r="J59" s="23">
        <f>Data!Q121</f>
        <v>165.15229287815015</v>
      </c>
      <c r="K59" s="23">
        <f>Data!R121</f>
        <v>118.28286292755008</v>
      </c>
    </row>
    <row r="60" spans="1:11">
      <c r="A60" s="10" t="s">
        <v>40</v>
      </c>
      <c r="B60" s="22">
        <f>Data!I122</f>
        <v>65.046047061037001</v>
      </c>
      <c r="C60" s="22">
        <f>Data!J122</f>
        <v>-71.914330014740955</v>
      </c>
      <c r="D60" s="22">
        <f>Data!K122</f>
        <v>-182.08433737798237</v>
      </c>
      <c r="E60" s="22">
        <f>Data!L122</f>
        <v>52.662421933633851</v>
      </c>
      <c r="F60" s="23">
        <f>Data!M122</f>
        <v>156.6174868869949</v>
      </c>
      <c r="G60" s="23">
        <f>Data!N122</f>
        <v>153.76663950835589</v>
      </c>
      <c r="H60" s="23">
        <f>Data!O122</f>
        <v>-208.92326741002941</v>
      </c>
      <c r="I60" s="23">
        <f>Data!P122</f>
        <v>117.04233019116079</v>
      </c>
      <c r="J60" s="23">
        <f>Data!Q122</f>
        <v>103.26659058866289</v>
      </c>
      <c r="K60" s="23">
        <f>Data!R122</f>
        <v>106.89720955775583</v>
      </c>
    </row>
    <row r="61" spans="1:11">
      <c r="A61" s="7" t="s">
        <v>42</v>
      </c>
      <c r="B61" s="15">
        <f>Data!I104</f>
        <v>0.29059040590405905</v>
      </c>
      <c r="C61" s="15">
        <f>Data!J104</f>
        <v>0.28041415012942189</v>
      </c>
      <c r="D61" s="15">
        <f>Data!K104</f>
        <v>0.26672777268560954</v>
      </c>
      <c r="E61" s="15">
        <f>Data!L104</f>
        <v>0.26919758412424505</v>
      </c>
      <c r="F61" s="16">
        <f>Data!M104</f>
        <v>0.28617224051290935</v>
      </c>
      <c r="G61" s="16">
        <f>Data!N104</f>
        <v>0.29955730447614365</v>
      </c>
      <c r="H61" s="16">
        <f>Data!O104</f>
        <v>0.28009658502932044</v>
      </c>
      <c r="I61" s="16">
        <f>Data!P104</f>
        <v>0.29109870257842013</v>
      </c>
      <c r="J61" s="16">
        <f>Data!Q104</f>
        <v>0.30092743247640746</v>
      </c>
      <c r="K61" s="16">
        <f>Data!R104</f>
        <v>0.30975779617735821</v>
      </c>
    </row>
    <row r="62" spans="1:11">
      <c r="A62" s="10" t="s">
        <v>39</v>
      </c>
      <c r="B62" s="22">
        <f>Data!I124</f>
        <v>128.12628126281257</v>
      </c>
      <c r="C62" s="22">
        <f>Data!J124</f>
        <v>322.25744332320448</v>
      </c>
      <c r="D62" s="22">
        <f>Data!K124</f>
        <v>131.25467210105214</v>
      </c>
      <c r="E62" s="22">
        <f>Data!L124</f>
        <v>-169.21396045726621</v>
      </c>
      <c r="F62" s="23">
        <f>Data!M124</f>
        <v>-44.18165391149698</v>
      </c>
      <c r="G62" s="23">
        <f>Data!N124</f>
        <v>191.43154346721758</v>
      </c>
      <c r="H62" s="23">
        <f>Data!O124</f>
        <v>133.688123437109</v>
      </c>
      <c r="I62" s="23">
        <f>Data!P124</f>
        <v>219.01118454175082</v>
      </c>
      <c r="J62" s="23">
        <f>Data!Q124</f>
        <v>147.55191963498115</v>
      </c>
      <c r="K62" s="23">
        <f>Data!R124</f>
        <v>102.00491701214564</v>
      </c>
    </row>
    <row r="63" spans="1:11">
      <c r="A63" s="10" t="s">
        <v>40</v>
      </c>
      <c r="B63" s="22">
        <f>Data!I125</f>
        <v>44.71425734087375</v>
      </c>
      <c r="C63" s="22">
        <f>Data!J125</f>
        <v>-101.76255774637156</v>
      </c>
      <c r="D63" s="22">
        <f>Data!K125</f>
        <v>-136.86377443812347</v>
      </c>
      <c r="E63" s="22">
        <f>Data!L125</f>
        <v>24.698114386355051</v>
      </c>
      <c r="F63" s="23">
        <f>Data!M125</f>
        <v>169.746563886643</v>
      </c>
      <c r="G63" s="23">
        <f>Data!N125</f>
        <v>133.85063963234302</v>
      </c>
      <c r="H63" s="23">
        <f>Data!O125</f>
        <v>-194.60719446823205</v>
      </c>
      <c r="I63" s="23">
        <f>Data!P125</f>
        <v>110.02117549099688</v>
      </c>
      <c r="J63" s="23">
        <f>Data!Q125</f>
        <v>98.287298979873313</v>
      </c>
      <c r="K63" s="23">
        <f>Data!R125</f>
        <v>88.303637009507497</v>
      </c>
    </row>
    <row r="64" spans="1:11">
      <c r="A64" s="7" t="s">
        <v>43</v>
      </c>
      <c r="B64" s="15">
        <f>Data!I106</f>
        <v>0.1900369003690037</v>
      </c>
      <c r="C64" s="15">
        <f>Data!J106</f>
        <v>0.17946505608283003</v>
      </c>
      <c r="D64" s="15">
        <f>Data!K106</f>
        <v>0.16223648029330889</v>
      </c>
      <c r="E64" s="15">
        <f>Data!L106</f>
        <v>0.17256255392579811</v>
      </c>
      <c r="F64" s="16">
        <f>Data!M106</f>
        <v>0.17943164096343786</v>
      </c>
      <c r="G64" s="16">
        <f>Data!N106</f>
        <v>0.19273651418265289</v>
      </c>
      <c r="H64" s="16">
        <f>Data!O106</f>
        <v>0.17497412901000348</v>
      </c>
      <c r="I64" s="16">
        <f>Data!P106</f>
        <v>0.18705863031696504</v>
      </c>
      <c r="J64" s="16">
        <f>Data!Q106</f>
        <v>0.19516758867556133</v>
      </c>
      <c r="K64" s="16">
        <f>Data!R106</f>
        <v>0.20397740462740852</v>
      </c>
    </row>
    <row r="65" spans="1:11">
      <c r="A65" s="10" t="s">
        <v>39</v>
      </c>
      <c r="B65" s="22">
        <f>Data!I127</f>
        <v>224.443077764111</v>
      </c>
      <c r="C65" s="22">
        <f>Data!J127</f>
        <v>417.83896662540178</v>
      </c>
      <c r="D65" s="22">
        <f>Data!K127</f>
        <v>143.01802099264711</v>
      </c>
      <c r="E65" s="22">
        <f>Data!L127</f>
        <v>-40.191269051745024</v>
      </c>
      <c r="F65" s="23">
        <f>Data!M127</f>
        <v>-106.05259405565836</v>
      </c>
      <c r="G65" s="23">
        <f>Data!N127</f>
        <v>132.71458099822857</v>
      </c>
      <c r="H65" s="23">
        <f>Data!O127</f>
        <v>127.37648716694582</v>
      </c>
      <c r="I65" s="23">
        <f>Data!P127</f>
        <v>144.96076391166929</v>
      </c>
      <c r="J65" s="23">
        <f>Data!Q127</f>
        <v>157.3594771212347</v>
      </c>
      <c r="K65" s="23">
        <f>Data!R127</f>
        <v>112.40890444755624</v>
      </c>
    </row>
    <row r="66" spans="1:11">
      <c r="A66" s="10" t="s">
        <v>40</v>
      </c>
      <c r="B66" s="22">
        <f>Data!I128</f>
        <v>134.55219538031082</v>
      </c>
      <c r="C66" s="22">
        <f>Data!J128</f>
        <v>-105.71844286173665</v>
      </c>
      <c r="D66" s="22">
        <f>Data!K128</f>
        <v>-172.28575789521139</v>
      </c>
      <c r="E66" s="22">
        <f>Data!L128</f>
        <v>103.26073632489219</v>
      </c>
      <c r="F66" s="23">
        <f>Data!M128</f>
        <v>68.690870376397484</v>
      </c>
      <c r="G66" s="23">
        <f>Data!N128</f>
        <v>133.04873219215031</v>
      </c>
      <c r="H66" s="23">
        <f>Data!O128</f>
        <v>-177.62385172649414</v>
      </c>
      <c r="I66" s="23">
        <f>Data!P128</f>
        <v>120.84501306961565</v>
      </c>
      <c r="J66" s="23">
        <f>Data!Q128</f>
        <v>81.089583585962913</v>
      </c>
      <c r="K66" s="23">
        <f>Data!R128</f>
        <v>88.098159518471832</v>
      </c>
    </row>
    <row r="67" spans="1:11">
      <c r="A67" s="7" t="s">
        <v>44</v>
      </c>
      <c r="B67" s="15">
        <f>Data!I85</f>
        <v>0.67600000000000005</v>
      </c>
      <c r="C67" s="15">
        <f>Data!J85</f>
        <v>0.65500000000000003</v>
      </c>
      <c r="D67" s="15">
        <f>Data!K85</f>
        <v>0.66100000000000003</v>
      </c>
      <c r="E67" s="15">
        <f>Data!L85</f>
        <v>0.66400000000000003</v>
      </c>
      <c r="F67" s="16">
        <f>Data!M85</f>
        <v>0.67979999999999996</v>
      </c>
      <c r="G67" s="16">
        <f>Data!N85</f>
        <v>0.6744</v>
      </c>
      <c r="H67" s="16">
        <f>Data!O85</f>
        <v>0.67989999999999995</v>
      </c>
      <c r="I67" s="16">
        <f>Data!P85</f>
        <v>0.68479999999999996</v>
      </c>
      <c r="J67" s="16">
        <f>Data!Q85</f>
        <v>0.68459999999999999</v>
      </c>
      <c r="K67" s="16">
        <f>Data!R85</f>
        <v>0.6804</v>
      </c>
    </row>
    <row r="68" spans="1:11">
      <c r="A68" s="10" t="s">
        <v>39</v>
      </c>
      <c r="B68" s="22">
        <f>Data!I130</f>
        <v>-129.99999999999901</v>
      </c>
      <c r="C68" s="22">
        <f>Data!J130</f>
        <v>-40.000000000000036</v>
      </c>
      <c r="D68" s="22">
        <f>Data!K130</f>
        <v>50.000000000000043</v>
      </c>
      <c r="E68" s="22">
        <f>Data!L130</f>
        <v>80.000000000000071</v>
      </c>
      <c r="F68" s="23">
        <f>Data!M130</f>
        <v>37.999999999999147</v>
      </c>
      <c r="G68" s="23">
        <f>Data!N130</f>
        <v>193.99999999999972</v>
      </c>
      <c r="H68" s="23">
        <f>Data!O130</f>
        <v>188.99999999999918</v>
      </c>
      <c r="I68" s="23">
        <f>Data!P130</f>
        <v>207.99999999999929</v>
      </c>
      <c r="J68" s="23">
        <f>Data!Q130</f>
        <v>48.000000000000263</v>
      </c>
      <c r="K68" s="23">
        <f>Data!R130</f>
        <v>60.000000000000057</v>
      </c>
    </row>
    <row r="69" spans="1:11">
      <c r="A69" s="10" t="s">
        <v>40</v>
      </c>
      <c r="B69" s="22">
        <f>Data!I131</f>
        <v>200.00000000000017</v>
      </c>
      <c r="C69" s="22">
        <f>Data!J131</f>
        <v>-210.0000000000002</v>
      </c>
      <c r="D69" s="22">
        <f>Data!K131</f>
        <v>60.000000000000057</v>
      </c>
      <c r="E69" s="22">
        <f>Data!L131</f>
        <v>30.000000000000028</v>
      </c>
      <c r="F69" s="23">
        <f>Data!M131</f>
        <v>157.99999999999926</v>
      </c>
      <c r="G69" s="23">
        <f>Data!N131</f>
        <v>-53.999999999999602</v>
      </c>
      <c r="H69" s="23">
        <f>Data!O131</f>
        <v>54.999999999999496</v>
      </c>
      <c r="I69" s="23">
        <f>Data!P131</f>
        <v>49.000000000000156</v>
      </c>
      <c r="J69" s="23">
        <f>Data!Q131</f>
        <v>-1.9999999999997797</v>
      </c>
      <c r="K69" s="23">
        <f>Data!R131</f>
        <v>-41.999999999999815</v>
      </c>
    </row>
    <row r="70" spans="1:11">
      <c r="A70" s="7" t="s">
        <v>45</v>
      </c>
      <c r="B70" s="15">
        <f>Data!I87</f>
        <v>0.21</v>
      </c>
      <c r="C70" s="15">
        <f>Data!J87</f>
        <v>0.17399999999999999</v>
      </c>
      <c r="D70" s="15">
        <f>Data!K87</f>
        <v>0.192</v>
      </c>
      <c r="E70" s="15">
        <f>Data!L87</f>
        <v>0.21099999999999999</v>
      </c>
      <c r="F70" s="16">
        <f>Data!M87</f>
        <v>0.2177</v>
      </c>
      <c r="G70" s="16">
        <f>Data!N87</f>
        <v>0.2278</v>
      </c>
      <c r="H70" s="16">
        <f>Data!O87</f>
        <v>0.218</v>
      </c>
      <c r="I70" s="16">
        <f>Data!P87</f>
        <v>0.23019999999999999</v>
      </c>
      <c r="J70" s="16">
        <f>Data!Q87</f>
        <v>0.23449999999999999</v>
      </c>
      <c r="K70" s="16">
        <f>Data!R87</f>
        <v>0.2432</v>
      </c>
    </row>
    <row r="71" spans="1:11">
      <c r="A71" s="10" t="s">
        <v>39</v>
      </c>
      <c r="B71" s="22">
        <f>Data!I133</f>
        <v>-4760.0000000000009</v>
      </c>
      <c r="C71" s="22">
        <f>Data!J133</f>
        <v>159.99999999999986</v>
      </c>
      <c r="D71" s="22">
        <f>Data!K133</f>
        <v>340</v>
      </c>
      <c r="E71" s="22">
        <f>Data!L133</f>
        <v>89.999999999999801</v>
      </c>
      <c r="F71" s="23">
        <f>Data!M133</f>
        <v>77.000000000000128</v>
      </c>
      <c r="G71" s="23">
        <f>Data!N133</f>
        <v>538.00000000000011</v>
      </c>
      <c r="H71" s="23">
        <f>Data!O133</f>
        <v>259.99999999999994</v>
      </c>
      <c r="I71" s="23">
        <f>Data!P133</f>
        <v>191.99999999999994</v>
      </c>
      <c r="J71" s="23">
        <f>Data!Q133</f>
        <v>167.99999999999983</v>
      </c>
      <c r="K71" s="23">
        <f>Data!R133</f>
        <v>153.99999999999997</v>
      </c>
    </row>
    <row r="72" spans="1:11">
      <c r="A72" s="10" t="s">
        <v>40</v>
      </c>
      <c r="B72" s="22">
        <f>Data!I134</f>
        <v>79.999999999999787</v>
      </c>
      <c r="C72" s="22">
        <f>Data!J134</f>
        <v>-360.00000000000006</v>
      </c>
      <c r="D72" s="22">
        <f>Data!K134</f>
        <v>180.00000000000017</v>
      </c>
      <c r="E72" s="22">
        <f>Data!L134</f>
        <v>189.99999999999989</v>
      </c>
      <c r="F72" s="23">
        <f>Data!M134</f>
        <v>67.000000000000114</v>
      </c>
      <c r="G72" s="23">
        <f>Data!N134</f>
        <v>100.99999999999997</v>
      </c>
      <c r="H72" s="23">
        <f>Data!O134</f>
        <v>-98.000000000000028</v>
      </c>
      <c r="I72" s="23">
        <f>Data!P134</f>
        <v>121.99999999999989</v>
      </c>
      <c r="J72" s="23">
        <f>Data!Q134</f>
        <v>42.999999999999986</v>
      </c>
      <c r="K72" s="23">
        <f>Data!R134</f>
        <v>87.000000000000128</v>
      </c>
    </row>
    <row r="73" spans="1:11">
      <c r="A73" s="5" t="s">
        <v>46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>
      <c r="A74" s="7" t="s">
        <v>47</v>
      </c>
      <c r="B74" s="15">
        <f>Data!I108</f>
        <v>0.30811808118081185</v>
      </c>
      <c r="C74" s="15">
        <f>Data!J108</f>
        <v>0.32959447799827435</v>
      </c>
      <c r="D74" s="15">
        <f>Data!K108</f>
        <v>0.31805682859761686</v>
      </c>
      <c r="E74" s="15">
        <f>Data!L108</f>
        <v>0.31837791199309751</v>
      </c>
      <c r="F74" s="16">
        <f>Data!M108</f>
        <v>0.31155778894472363</v>
      </c>
      <c r="G74" s="16">
        <f>Data!N108</f>
        <v>0.31316609280209873</v>
      </c>
      <c r="H74" s="16">
        <f>Data!O108</f>
        <v>0.31252155915833035</v>
      </c>
      <c r="I74" s="16">
        <f>Data!P108</f>
        <v>0.30850714403021839</v>
      </c>
      <c r="J74" s="16">
        <f>Data!Q108</f>
        <v>0.30670354702245362</v>
      </c>
      <c r="K74" s="16">
        <f>Data!R108</f>
        <v>0.31006732182929653</v>
      </c>
    </row>
    <row r="75" spans="1:11">
      <c r="A75" s="10" t="s">
        <v>39</v>
      </c>
      <c r="B75" s="22">
        <f>Data!I136</f>
        <v>127.4771081044146</v>
      </c>
      <c r="C75" s="22">
        <f>Data!J136</f>
        <v>44.133185779845483</v>
      </c>
      <c r="D75" s="22">
        <f>Data!K136</f>
        <v>-75.915863879739703</v>
      </c>
      <c r="E75" s="22">
        <f>Data!L136</f>
        <v>124.28903494513976</v>
      </c>
      <c r="F75" s="23">
        <f>Data!M136</f>
        <v>34.397077639117811</v>
      </c>
      <c r="G75" s="23">
        <f>Data!N136</f>
        <v>-164.2838519617562</v>
      </c>
      <c r="H75" s="23">
        <f>Data!O136</f>
        <v>-55.352694392865054</v>
      </c>
      <c r="I75" s="23">
        <f>Data!P136</f>
        <v>-98.707679628791126</v>
      </c>
      <c r="J75" s="23">
        <f>Data!Q136</f>
        <v>-48.542419222700197</v>
      </c>
      <c r="K75" s="23">
        <f>Data!R136</f>
        <v>-30.987709728022004</v>
      </c>
    </row>
    <row r="76" spans="1:11">
      <c r="A76" s="10" t="s">
        <v>40</v>
      </c>
      <c r="B76" s="22">
        <f>Data!I137</f>
        <v>21.690726822283235</v>
      </c>
      <c r="C76" s="22">
        <f>Data!J137</f>
        <v>214.76396817462495</v>
      </c>
      <c r="D76" s="22">
        <f>Data!K137</f>
        <v>-115.3764940065749</v>
      </c>
      <c r="E76" s="22">
        <f>Data!L137</f>
        <v>3.2108339548064802</v>
      </c>
      <c r="F76" s="23">
        <f>Data!M137</f>
        <v>-68.201230483738712</v>
      </c>
      <c r="G76" s="23">
        <f>Data!N137</f>
        <v>16.08303857375093</v>
      </c>
      <c r="H76" s="23">
        <f>Data!O137</f>
        <v>-6.4453364376837463</v>
      </c>
      <c r="I76" s="23">
        <f>Data!P137</f>
        <v>-40.144151281119591</v>
      </c>
      <c r="J76" s="23">
        <f>Data!Q137</f>
        <v>-18.035970077647789</v>
      </c>
      <c r="K76" s="23">
        <f>Data!R137</f>
        <v>33.637748068429119</v>
      </c>
    </row>
    <row r="77" spans="1:11">
      <c r="A77" s="7" t="s">
        <v>48</v>
      </c>
      <c r="B77" s="15">
        <f>Data!I110</f>
        <v>0.21033210332103322</v>
      </c>
      <c r="C77" s="15">
        <f>Data!J110</f>
        <v>0.20534943917169973</v>
      </c>
      <c r="D77" s="15">
        <f>Data!K110</f>
        <v>0.21906507791017416</v>
      </c>
      <c r="E77" s="15">
        <f>Data!L110</f>
        <v>0.21742881794650562</v>
      </c>
      <c r="F77" s="16">
        <f>Data!M110</f>
        <v>0.21356783919597988</v>
      </c>
      <c r="G77" s="16">
        <f>Data!N110</f>
        <v>0.2042957861944581</v>
      </c>
      <c r="H77" s="16">
        <f>Data!O110</f>
        <v>0.21222835460503622</v>
      </c>
      <c r="I77" s="16">
        <f>Data!P110</f>
        <v>0.21243225488585973</v>
      </c>
      <c r="J77" s="16">
        <f>Data!Q110</f>
        <v>0.20728929384965833</v>
      </c>
      <c r="K77" s="16">
        <f>Data!R110</f>
        <v>0.19979880832624003</v>
      </c>
    </row>
    <row r="78" spans="1:11">
      <c r="A78" s="10" t="s">
        <v>39</v>
      </c>
      <c r="B78" s="22">
        <f>Data!I139</f>
        <v>-202.2345223452235</v>
      </c>
      <c r="C78" s="22">
        <f>Data!J139</f>
        <v>-256.28821697865482</v>
      </c>
      <c r="D78" s="22">
        <f>Data!K139</f>
        <v>-124.43087315570311</v>
      </c>
      <c r="E78" s="22">
        <f>Data!L139</f>
        <v>-120.32938427432055</v>
      </c>
      <c r="F78" s="23">
        <f>Data!M139</f>
        <v>32.357358749466606</v>
      </c>
      <c r="G78" s="23">
        <f>Data!N139</f>
        <v>-10.536529772416369</v>
      </c>
      <c r="H78" s="23">
        <f>Data!O139</f>
        <v>-68.367233051379316</v>
      </c>
      <c r="I78" s="23">
        <f>Data!P139</f>
        <v>-49.965630606458866</v>
      </c>
      <c r="J78" s="23">
        <f>Data!Q139</f>
        <v>-62.785453463215511</v>
      </c>
      <c r="K78" s="23">
        <f>Data!R139</f>
        <v>-44.96977868218066</v>
      </c>
    </row>
    <row r="79" spans="1:11">
      <c r="A79" s="10" t="s">
        <v>40</v>
      </c>
      <c r="B79" s="22">
        <f>Data!I140</f>
        <v>-191.29653052904456</v>
      </c>
      <c r="C79" s="22">
        <f>Data!J140</f>
        <v>-49.826641493334876</v>
      </c>
      <c r="D79" s="22">
        <f>Data!K140</f>
        <v>137.15638738474422</v>
      </c>
      <c r="E79" s="22">
        <f>Data!L140</f>
        <v>-16.362599636685349</v>
      </c>
      <c r="F79" s="23">
        <f>Data!M140</f>
        <v>-38.609787505257401</v>
      </c>
      <c r="G79" s="23">
        <f>Data!N140</f>
        <v>-92.720530015217847</v>
      </c>
      <c r="H79" s="23">
        <f>Data!O140</f>
        <v>79.325684105781278</v>
      </c>
      <c r="I79" s="23">
        <f>Data!P140</f>
        <v>2.0390028082351019</v>
      </c>
      <c r="J79" s="23">
        <f>Data!Q140</f>
        <v>-51.429610362014046</v>
      </c>
      <c r="K79" s="23">
        <f>Data!R140</f>
        <v>-74.904855234183003</v>
      </c>
    </row>
    <row r="80" spans="1:11">
      <c r="A80" s="7" t="s">
        <v>49</v>
      </c>
      <c r="B80" s="15">
        <f>Data!I112</f>
        <v>0.23616236162361623</v>
      </c>
      <c r="C80" s="15">
        <f>Data!J112</f>
        <v>0.2277825711820535</v>
      </c>
      <c r="D80" s="15">
        <f>Data!K112</f>
        <v>0.24472960586617781</v>
      </c>
      <c r="E80" s="15">
        <f>Data!L112</f>
        <v>0.23986194995685936</v>
      </c>
      <c r="F80" s="16">
        <f>Data!M112</f>
        <v>0.23479466297002252</v>
      </c>
      <c r="G80" s="16">
        <f>Data!N112</f>
        <v>0.22380718150516479</v>
      </c>
      <c r="H80" s="16">
        <f>Data!O112</f>
        <v>0.23965160400137978</v>
      </c>
      <c r="I80" s="16">
        <f>Data!P112</f>
        <v>0.23320742322220397</v>
      </c>
      <c r="J80" s="16">
        <f>Data!Q112</f>
        <v>0.22803449397982428</v>
      </c>
      <c r="K80" s="16">
        <f>Data!R112</f>
        <v>0.22038226418014395</v>
      </c>
    </row>
    <row r="81" spans="1:11">
      <c r="A81" s="10" t="s">
        <v>39</v>
      </c>
      <c r="B81" s="22">
        <f>Data!I142</f>
        <v>-119.85786524531916</v>
      </c>
      <c r="C81" s="22">
        <f>Data!J142</f>
        <v>-176.88443310700131</v>
      </c>
      <c r="D81" s="22">
        <f>Data!K142</f>
        <v>64.971370861585939</v>
      </c>
      <c r="E81" s="22">
        <f>Data!L142</f>
        <v>122.88767709456138</v>
      </c>
      <c r="F81" s="23">
        <f>Data!M142</f>
        <v>-13.676986535937075</v>
      </c>
      <c r="G81" s="23">
        <f>Data!N142</f>
        <v>-39.753896768887074</v>
      </c>
      <c r="H81" s="23">
        <f>Data!O142</f>
        <v>-50.780018647980377</v>
      </c>
      <c r="I81" s="23">
        <f>Data!P142</f>
        <v>-66.545267346553857</v>
      </c>
      <c r="J81" s="23">
        <f>Data!Q142</f>
        <v>-67.601689901982397</v>
      </c>
      <c r="K81" s="23">
        <f>Data!R142</f>
        <v>-34.249173250208429</v>
      </c>
    </row>
    <row r="82" spans="1:11">
      <c r="A82" s="10" t="s">
        <v>40</v>
      </c>
      <c r="B82" s="22">
        <f>Data!I143</f>
        <v>85.891793762130078</v>
      </c>
      <c r="C82" s="22">
        <f>Data!J143</f>
        <v>-83.797904415627286</v>
      </c>
      <c r="D82" s="22">
        <f>Data!K143</f>
        <v>169.47034684124313</v>
      </c>
      <c r="E82" s="22">
        <f>Data!L143</f>
        <v>-48.676559093184522</v>
      </c>
      <c r="F82" s="23">
        <f>Data!M143</f>
        <v>-50.672869868368387</v>
      </c>
      <c r="G82" s="23">
        <f>Data!N143</f>
        <v>-109.87481464857728</v>
      </c>
      <c r="H82" s="23">
        <f>Data!O143</f>
        <v>158.44422496214983</v>
      </c>
      <c r="I82" s="23">
        <f>Data!P143</f>
        <v>-64.441807791758009</v>
      </c>
      <c r="J82" s="23">
        <f>Data!Q143</f>
        <v>-51.729292423796927</v>
      </c>
      <c r="K82" s="23">
        <f>Data!R143</f>
        <v>-76.522297996803317</v>
      </c>
    </row>
    <row r="83" spans="1:11">
      <c r="A83" s="7" t="s">
        <v>50</v>
      </c>
      <c r="B83" s="15">
        <f>Data!I114</f>
        <v>0.44649446494464945</v>
      </c>
      <c r="C83" s="15">
        <f>Data!J114</f>
        <v>0.43313201035375326</v>
      </c>
      <c r="D83" s="15">
        <f>Data!K114</f>
        <v>0.46379468377635197</v>
      </c>
      <c r="E83" s="15">
        <f>Data!L114</f>
        <v>0.45729076790336498</v>
      </c>
      <c r="F83" s="16">
        <f>Data!M114</f>
        <v>0.44836250216600243</v>
      </c>
      <c r="G83" s="16">
        <f>Data!N114</f>
        <v>0.42810296769962292</v>
      </c>
      <c r="H83" s="16">
        <f>Data!O114</f>
        <v>0.45187995860641605</v>
      </c>
      <c r="I83" s="16">
        <f>Data!P114</f>
        <v>0.44563967810806376</v>
      </c>
      <c r="J83" s="16">
        <f>Data!Q114</f>
        <v>0.43532378782948261</v>
      </c>
      <c r="K83" s="16">
        <f>Data!R114</f>
        <v>0.42018107250638398</v>
      </c>
    </row>
    <row r="84" spans="1:11">
      <c r="A84" s="10" t="s">
        <v>39</v>
      </c>
      <c r="B84" s="22">
        <f>Data!I145</f>
        <v>-322.09238759054239</v>
      </c>
      <c r="C84" s="22">
        <f>Data!J145</f>
        <v>-433.17265008565585</v>
      </c>
      <c r="D84" s="22">
        <f>Data!K145</f>
        <v>-59.459502294117449</v>
      </c>
      <c r="E84" s="22">
        <f>Data!L145</f>
        <v>2.5582928202411148</v>
      </c>
      <c r="F84" s="23">
        <f>Data!M145</f>
        <v>18.680372213529807</v>
      </c>
      <c r="G84" s="23">
        <f>Data!N145</f>
        <v>-50.290426541303447</v>
      </c>
      <c r="H84" s="23">
        <f>Data!O145</f>
        <v>-119.14725169935913</v>
      </c>
      <c r="I84" s="23">
        <f>Data!P145</f>
        <v>-116.51089795301218</v>
      </c>
      <c r="J84" s="23">
        <f>Data!Q145</f>
        <v>-130.3871433651982</v>
      </c>
      <c r="K84" s="23">
        <f>Data!R145</f>
        <v>-79.218951932389373</v>
      </c>
    </row>
    <row r="85" spans="1:11">
      <c r="A85" s="10" t="s">
        <v>40</v>
      </c>
      <c r="B85" s="22">
        <f>Data!I146</f>
        <v>-105.4047367669142</v>
      </c>
      <c r="C85" s="22">
        <f>Data!J146</f>
        <v>-133.62454590896189</v>
      </c>
      <c r="D85" s="22">
        <f>Data!K146</f>
        <v>306.62673422598709</v>
      </c>
      <c r="E85" s="22">
        <f>Data!L146</f>
        <v>-65.039158729869868</v>
      </c>
      <c r="F85" s="23">
        <f>Data!M146</f>
        <v>-89.282657373625511</v>
      </c>
      <c r="G85" s="23">
        <f>Data!N146</f>
        <v>-202.59534466379515</v>
      </c>
      <c r="H85" s="23">
        <f>Data!O146</f>
        <v>237.76990906793139</v>
      </c>
      <c r="I85" s="23">
        <f>Data!P146</f>
        <v>-62.402804983522906</v>
      </c>
      <c r="J85" s="23">
        <f>Data!Q146</f>
        <v>-103.15890278581152</v>
      </c>
      <c r="K85" s="23">
        <f>Data!R146</f>
        <v>-151.42715323098633</v>
      </c>
    </row>
    <row r="86" spans="1:11">
      <c r="A86" s="7" t="s">
        <v>51</v>
      </c>
      <c r="B86" s="15">
        <f>Data!I116</f>
        <v>6.4575645756457564E-2</v>
      </c>
      <c r="C86" s="15">
        <f>Data!J116</f>
        <v>5.4357204486626405E-2</v>
      </c>
      <c r="D86" s="15">
        <f>Data!K116</f>
        <v>5.4995417048579284E-2</v>
      </c>
      <c r="E86" s="15">
        <f>Data!L116</f>
        <v>6.2985332182916312E-2</v>
      </c>
      <c r="F86" s="16">
        <f>Data!M116</f>
        <v>6.4633512389533868E-2</v>
      </c>
      <c r="G86" s="16">
        <f>Data!N116</f>
        <v>6.058370224626989E-2</v>
      </c>
      <c r="H86" s="16">
        <f>Data!O116</f>
        <v>6.804070369092792E-2</v>
      </c>
      <c r="I86" s="16">
        <f>Data!P116</f>
        <v>6.0436853342092298E-2</v>
      </c>
      <c r="J86" s="16">
        <f>Data!Q116</f>
        <v>6.0201757240481608E-2</v>
      </c>
      <c r="K86" s="16">
        <f>Data!R116</f>
        <v>5.6720575717712607E-2</v>
      </c>
    </row>
    <row r="87" spans="1:11">
      <c r="A87" s="10" t="s">
        <v>39</v>
      </c>
      <c r="B87" s="22" t="str">
        <f>Data!I148</f>
        <v>n/a</v>
      </c>
      <c r="C87" s="22" t="str">
        <f>Data!J148</f>
        <v>n/a</v>
      </c>
      <c r="D87" s="22">
        <f>Data!K148</f>
        <v>-151.29462874571536</v>
      </c>
      <c r="E87" s="22">
        <f>Data!L148</f>
        <v>-21.704751825227795</v>
      </c>
      <c r="F87" s="23">
        <f>Data!M148</f>
        <v>0.57866633076303353</v>
      </c>
      <c r="G87" s="23">
        <f>Data!N148</f>
        <v>62.264977596434846</v>
      </c>
      <c r="H87" s="23">
        <f>Data!O148</f>
        <v>130.45286642348637</v>
      </c>
      <c r="I87" s="23">
        <f>Data!P148</f>
        <v>-25.484788408240146</v>
      </c>
      <c r="J87" s="23">
        <f>Data!Q148</f>
        <v>-44.31755149052259</v>
      </c>
      <c r="K87" s="23">
        <f>Data!R148</f>
        <v>-38.63126528557283</v>
      </c>
    </row>
    <row r="88" spans="1:11">
      <c r="A88" s="10" t="s">
        <v>40</v>
      </c>
      <c r="B88" s="22">
        <f>Data!I149</f>
        <v>-5.8016160898152762</v>
      </c>
      <c r="C88" s="22">
        <f>Data!J149</f>
        <v>-102.18441269831159</v>
      </c>
      <c r="D88" s="22">
        <f>Data!K149</f>
        <v>6.3821256195287921</v>
      </c>
      <c r="E88" s="22">
        <f>Data!L149</f>
        <v>79.899151343370278</v>
      </c>
      <c r="F88" s="23">
        <f>Data!M149</f>
        <v>16.481802066175554</v>
      </c>
      <c r="G88" s="23">
        <f>Data!N149</f>
        <v>-40.498101432639778</v>
      </c>
      <c r="H88" s="23">
        <f>Data!O149</f>
        <v>74.570014446580302</v>
      </c>
      <c r="I88" s="23">
        <f>Data!P149</f>
        <v>-76.038503488356227</v>
      </c>
      <c r="J88" s="23">
        <f>Data!Q149</f>
        <v>-2.3509610161068921</v>
      </c>
      <c r="K88" s="23">
        <f>Data!R149</f>
        <v>-34.811815227690019</v>
      </c>
    </row>
    <row r="89" spans="1:11">
      <c r="A89" s="7" t="s">
        <v>52</v>
      </c>
      <c r="B89" s="15">
        <f>Data!I89</f>
        <v>0.186</v>
      </c>
      <c r="C89" s="15">
        <f>Data!J89</f>
        <v>0.19500000000000001</v>
      </c>
      <c r="D89" s="15">
        <f>Data!K89</f>
        <v>0.20499999999999999</v>
      </c>
      <c r="E89" s="15">
        <f>Data!L89</f>
        <v>0.20499999999999999</v>
      </c>
      <c r="F89" s="16">
        <f>Data!M89</f>
        <v>0.20399999999999999</v>
      </c>
      <c r="G89" s="16">
        <f>Data!N89</f>
        <v>0.20399999999999999</v>
      </c>
      <c r="H89" s="16">
        <f>Data!O89</f>
        <v>0.20449999999999999</v>
      </c>
      <c r="I89" s="16">
        <f>Data!P89</f>
        <v>0.20399999999999999</v>
      </c>
      <c r="J89" s="16">
        <f>Data!Q89</f>
        <v>0.2041</v>
      </c>
      <c r="K89" s="16">
        <f>Data!R89</f>
        <v>0.2041</v>
      </c>
    </row>
    <row r="90" spans="1:11">
      <c r="A90" s="10" t="s">
        <v>39</v>
      </c>
      <c r="B90" s="22">
        <f>Data!I151</f>
        <v>-239.99999999999994</v>
      </c>
      <c r="C90" s="22">
        <f>Data!J151</f>
        <v>-419.99999999999983</v>
      </c>
      <c r="D90" s="22">
        <f>Data!K151</f>
        <v>-150.00000000000014</v>
      </c>
      <c r="E90" s="22">
        <f>Data!L151</f>
        <v>-170.00000000000014</v>
      </c>
      <c r="F90" s="23">
        <f>Data!M151</f>
        <v>179.99999999999989</v>
      </c>
      <c r="G90" s="23">
        <f>Data!N151</f>
        <v>89.999999999999801</v>
      </c>
      <c r="H90" s="23">
        <f>Data!O151</f>
        <v>-5.0000000000000044</v>
      </c>
      <c r="I90" s="23">
        <f>Data!P151</f>
        <v>-10.000000000000009</v>
      </c>
      <c r="J90" s="23">
        <f>Data!Q151</f>
        <v>1.0000000000001674</v>
      </c>
      <c r="K90" s="23">
        <f>Data!R151</f>
        <v>1.0000000000001674</v>
      </c>
    </row>
    <row r="91" spans="1:11">
      <c r="A91" s="10" t="s">
        <v>40</v>
      </c>
      <c r="B91" s="22">
        <f>Data!I152</f>
        <v>-360.00000000000006</v>
      </c>
      <c r="C91" s="22">
        <f>Data!J152</f>
        <v>90.000000000000085</v>
      </c>
      <c r="D91" s="22">
        <f>Data!K152</f>
        <v>99.999999999999815</v>
      </c>
      <c r="E91" s="22">
        <f>Data!L152</f>
        <v>0</v>
      </c>
      <c r="F91" s="23">
        <f>Data!M152</f>
        <v>-10.000000000000009</v>
      </c>
      <c r="G91" s="23">
        <f>Data!N152</f>
        <v>0</v>
      </c>
      <c r="H91" s="23">
        <f>Data!O152</f>
        <v>5.0000000000000044</v>
      </c>
      <c r="I91" s="23">
        <f>Data!P152</f>
        <v>-5.0000000000000044</v>
      </c>
      <c r="J91" s="23">
        <f>Data!Q152</f>
        <v>1.0000000000001674</v>
      </c>
      <c r="K91" s="23">
        <f>Data!R152</f>
        <v>0</v>
      </c>
    </row>
    <row r="92" spans="1:11">
      <c r="A92" s="5" t="s">
        <v>53</v>
      </c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>
      <c r="A93" s="7" t="s">
        <v>54</v>
      </c>
      <c r="B93" s="24">
        <f>Data!I91</f>
        <v>1.34</v>
      </c>
      <c r="C93" s="24">
        <f>Data!J91</f>
        <v>1.35</v>
      </c>
      <c r="D93" s="24">
        <f>Data!K91</f>
        <v>1.1499999999999999</v>
      </c>
      <c r="E93" s="24">
        <f>Data!L91</f>
        <v>1.31</v>
      </c>
      <c r="F93" s="25">
        <f>Data!M91</f>
        <v>1.36</v>
      </c>
      <c r="G93" s="25">
        <f>Data!N91</f>
        <v>1.54</v>
      </c>
      <c r="H93" s="25">
        <f>Data!O91</f>
        <v>1.35</v>
      </c>
      <c r="I93" s="25">
        <f>Data!P91</f>
        <v>1.47</v>
      </c>
      <c r="J93" s="25">
        <f>Data!Q91</f>
        <v>1.55</v>
      </c>
      <c r="K93" s="25">
        <f>Data!R91</f>
        <v>1.71</v>
      </c>
    </row>
    <row r="94" spans="1:11">
      <c r="A94" s="10" t="s">
        <v>15</v>
      </c>
      <c r="B94" s="11">
        <f>Data!I92</f>
        <v>0.17543859649122817</v>
      </c>
      <c r="C94" s="11">
        <f>Data!J92</f>
        <v>0.42105263157894757</v>
      </c>
      <c r="D94" s="11">
        <f>Data!K92</f>
        <v>0.18556701030927836</v>
      </c>
      <c r="E94" s="11">
        <f>Data!L92</f>
        <v>0.10084033613445387</v>
      </c>
      <c r="F94" s="12">
        <f>Data!M92</f>
        <v>1.4925373134328401E-2</v>
      </c>
      <c r="G94" s="12">
        <f>Data!N92</f>
        <v>0.14074074074074061</v>
      </c>
      <c r="H94" s="12">
        <f>Data!O92</f>
        <v>0.17391304347826098</v>
      </c>
      <c r="I94" s="12">
        <f>Data!P92</f>
        <v>0.12213740458015265</v>
      </c>
      <c r="J94" s="12">
        <f>Data!Q92</f>
        <v>0.13970588235294112</v>
      </c>
      <c r="K94" s="12">
        <f>Data!R92</f>
        <v>0.11038961038961026</v>
      </c>
    </row>
    <row r="95" spans="1:11">
      <c r="A95" s="10" t="s">
        <v>16</v>
      </c>
      <c r="B95" s="11">
        <f>Data!I93</f>
        <v>0.12605042016806745</v>
      </c>
      <c r="C95" s="11">
        <f>Data!J93</f>
        <v>7.4626865671640896E-3</v>
      </c>
      <c r="D95" s="11">
        <f>Data!K93</f>
        <v>-0.14814814814814825</v>
      </c>
      <c r="E95" s="11">
        <f>Data!L93</f>
        <v>0.13913043478260878</v>
      </c>
      <c r="F95" s="12">
        <f>Data!M93</f>
        <v>3.8167938931297662E-2</v>
      </c>
      <c r="G95" s="12">
        <f>Data!N93</f>
        <v>0.13235294117647056</v>
      </c>
      <c r="H95" s="12">
        <f>Data!O93</f>
        <v>-0.12337662337662336</v>
      </c>
      <c r="I95" s="12">
        <f>Data!P93</f>
        <v>8.8888888888888795E-2</v>
      </c>
      <c r="J95" s="12">
        <f>Data!Q93</f>
        <v>5.4421768707483054E-2</v>
      </c>
      <c r="K95" s="12">
        <f>Data!R93</f>
        <v>0.10322580645161294</v>
      </c>
    </row>
    <row r="96" spans="1:11">
      <c r="A96" s="10" t="s">
        <v>17</v>
      </c>
      <c r="B96" s="11" t="str">
        <f>Data!I94</f>
        <v>n/a</v>
      </c>
      <c r="C96" s="11" t="str">
        <f>Data!J94</f>
        <v>n/a</v>
      </c>
      <c r="D96" s="11">
        <f>Data!K94</f>
        <v>0.17536292867662528</v>
      </c>
      <c r="E96" s="11">
        <f>Data!L94</f>
        <v>0.19258345540050881</v>
      </c>
      <c r="F96" s="12">
        <f>Data!M94</f>
        <v>0.19036396962555657</v>
      </c>
      <c r="G96" s="12">
        <f>Data!N94</f>
        <v>0.56179337231968818</v>
      </c>
      <c r="H96" s="12">
        <f>Data!O94</f>
        <v>0.35948005378753933</v>
      </c>
      <c r="I96" s="12">
        <f>Data!P94</f>
        <v>0.22297774071460652</v>
      </c>
      <c r="J96" s="12">
        <f>Data!Q94</f>
        <v>0.15463125548726953</v>
      </c>
      <c r="K96" s="12">
        <f>Data!R94</f>
        <v>0.25113035113035087</v>
      </c>
    </row>
    <row r="98" spans="1:1">
      <c r="A98" s="26" t="s">
        <v>55</v>
      </c>
    </row>
    <row r="99" spans="1:1">
      <c r="A99" s="2" t="s">
        <v>56</v>
      </c>
    </row>
    <row r="100" spans="1:1">
      <c r="A100" s="2" t="s">
        <v>57</v>
      </c>
    </row>
    <row r="101" spans="1:1">
      <c r="A101" s="2" t="s">
        <v>58</v>
      </c>
    </row>
    <row r="102" spans="1:1">
      <c r="A102" s="2" t="s">
        <v>59</v>
      </c>
    </row>
    <row r="103" spans="1:1">
      <c r="A103" s="2" t="s">
        <v>60</v>
      </c>
    </row>
    <row r="104" spans="1:1">
      <c r="A104" s="2" t="s">
        <v>61</v>
      </c>
    </row>
    <row r="105" spans="1:1">
      <c r="A105" s="2" t="s">
        <v>62</v>
      </c>
    </row>
    <row r="106" spans="1:1">
      <c r="A106" s="2" t="s">
        <v>63</v>
      </c>
    </row>
    <row r="107" spans="1:1">
      <c r="A107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showGridLines="0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4.25"/>
  <cols>
    <col min="1" max="1" width="44" customWidth="1"/>
    <col min="2" max="7" width="9.42578125" customWidth="1"/>
  </cols>
  <sheetData>
    <row r="1" spans="1:7">
      <c r="A1" s="1" t="s">
        <v>65</v>
      </c>
      <c r="B1" s="45"/>
      <c r="C1" s="45"/>
      <c r="D1" s="45"/>
      <c r="E1" s="45"/>
      <c r="F1" s="45"/>
      <c r="G1" s="45"/>
    </row>
    <row r="2" spans="1:7">
      <c r="A2" s="2" t="s">
        <v>1</v>
      </c>
      <c r="B2" s="45"/>
      <c r="C2" s="45"/>
      <c r="D2" s="45"/>
      <c r="E2" s="45"/>
      <c r="F2" s="45"/>
      <c r="G2" s="45"/>
    </row>
    <row r="4" spans="1:7">
      <c r="A4" s="3" t="s">
        <v>2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spans="1:7">
      <c r="A5" s="5" t="s">
        <v>13</v>
      </c>
      <c r="B5" s="6"/>
      <c r="C5" s="6"/>
      <c r="D5" s="6"/>
      <c r="E5" s="6"/>
      <c r="F5" s="6"/>
      <c r="G5" s="6"/>
    </row>
    <row r="6" spans="1:7">
      <c r="A6" s="7" t="s">
        <v>14</v>
      </c>
      <c r="B6" s="8">
        <f>Data!W4</f>
        <v>4343</v>
      </c>
      <c r="C6" s="9">
        <f>Data!X4</f>
        <v>4624.8</v>
      </c>
      <c r="D6" s="9">
        <f>Data!Y4</f>
        <v>4918.3</v>
      </c>
      <c r="E6" s="9">
        <f>Data!Z4</f>
        <v>5262.8</v>
      </c>
      <c r="F6" s="9">
        <f>Data!AA4</f>
        <v>5649.7</v>
      </c>
      <c r="G6" s="9">
        <f>Data!AB4</f>
        <v>6087.9</v>
      </c>
    </row>
    <row r="7" spans="1:7">
      <c r="A7" s="10" t="s">
        <v>15</v>
      </c>
      <c r="B7" s="11">
        <f>Data!W5</f>
        <v>2.5392428439519055E-3</v>
      </c>
      <c r="C7" s="12">
        <f>Data!X5</f>
        <v>6.4886023486069533E-2</v>
      </c>
      <c r="D7" s="12">
        <f>Data!Y5</f>
        <v>6.346220377097378E-2</v>
      </c>
      <c r="E7" s="12">
        <f>Data!Z5</f>
        <v>7.0044527580668037E-2</v>
      </c>
      <c r="F7" s="12">
        <f>Data!AA5</f>
        <v>7.3515999087937933E-2</v>
      </c>
      <c r="G7" s="12">
        <f>Data!AB5</f>
        <v>7.7561640441085267E-2</v>
      </c>
    </row>
    <row r="8" spans="1:7">
      <c r="A8" s="10" t="s">
        <v>17</v>
      </c>
      <c r="B8" s="11">
        <f>Data!W7</f>
        <v>-2.134538987348833E-2</v>
      </c>
      <c r="C8" s="12">
        <f>Data!X7</f>
        <v>6.7425266330021438E-2</v>
      </c>
      <c r="D8" s="12">
        <f>Data!Y7</f>
        <v>0.12834822725704331</v>
      </c>
      <c r="E8" s="12">
        <f>Data!Z7</f>
        <v>0.13350673135164182</v>
      </c>
      <c r="F8" s="12">
        <f>Data!AA7</f>
        <v>0.14356052666860597</v>
      </c>
      <c r="G8" s="12">
        <f>Data!AB7</f>
        <v>0.1510776395290232</v>
      </c>
    </row>
    <row r="9" spans="1:7">
      <c r="A9" s="7" t="s">
        <v>18</v>
      </c>
      <c r="B9" s="8">
        <f>Data!W9</f>
        <v>4100</v>
      </c>
      <c r="C9" s="9">
        <f>Data!X9</f>
        <v>4414.1000000000004</v>
      </c>
      <c r="D9" s="9">
        <f>Data!Y9</f>
        <v>4729</v>
      </c>
      <c r="E9" s="9">
        <f>Data!Z9</f>
        <v>5075.7</v>
      </c>
      <c r="F9" s="9">
        <f>Data!AA9</f>
        <v>5419.8</v>
      </c>
      <c r="G9" s="9">
        <f>Data!AB9</f>
        <v>5881</v>
      </c>
    </row>
    <row r="10" spans="1:7">
      <c r="A10" s="10" t="s">
        <v>15</v>
      </c>
      <c r="B10" s="11">
        <f>Data!W10</f>
        <v>1.8886679920477212E-2</v>
      </c>
      <c r="C10" s="12">
        <f>Data!X10</f>
        <v>7.6609756097561155E-2</v>
      </c>
      <c r="D10" s="12">
        <f>Data!Y10</f>
        <v>7.1339570920459394E-2</v>
      </c>
      <c r="E10" s="12">
        <f>Data!Z10</f>
        <v>7.331359695495876E-2</v>
      </c>
      <c r="F10" s="12">
        <f>Data!AA10</f>
        <v>6.7793604822980136E-2</v>
      </c>
      <c r="G10" s="12">
        <f>Data!AB10</f>
        <v>8.509539097383656E-2</v>
      </c>
    </row>
    <row r="11" spans="1:7">
      <c r="A11" s="10" t="s">
        <v>17</v>
      </c>
      <c r="B11" s="11">
        <f>Data!W12</f>
        <v>1.1486581252495021E-2</v>
      </c>
      <c r="C11" s="12">
        <f>Data!X12</f>
        <v>9.5496436018038366E-2</v>
      </c>
      <c r="D11" s="12">
        <f>Data!Y12</f>
        <v>0.14794932701802055</v>
      </c>
      <c r="E11" s="12">
        <f>Data!Z12</f>
        <v>0.14465316787541815</v>
      </c>
      <c r="F11" s="12">
        <f>Data!AA12</f>
        <v>0.1411072017779389</v>
      </c>
      <c r="G11" s="12">
        <f>Data!AB12</f>
        <v>0.1528889957968167</v>
      </c>
    </row>
    <row r="12" spans="1:7">
      <c r="A12" s="5" t="s">
        <v>19</v>
      </c>
      <c r="B12" s="6"/>
      <c r="C12" s="6"/>
      <c r="D12" s="6"/>
      <c r="E12" s="6"/>
      <c r="F12" s="6"/>
      <c r="G12" s="6"/>
    </row>
    <row r="13" spans="1:7">
      <c r="A13" s="7" t="s">
        <v>20</v>
      </c>
      <c r="B13" s="8">
        <f>Data!W14</f>
        <v>265</v>
      </c>
      <c r="C13" s="9" t="str">
        <f>Data!X14</f>
        <v>n/a</v>
      </c>
      <c r="D13" s="9" t="str">
        <f>Data!Y14</f>
        <v>n/a</v>
      </c>
      <c r="E13" s="9" t="str">
        <f>Data!Z14</f>
        <v>n/a</v>
      </c>
      <c r="F13" s="9" t="str">
        <f>Data!AA14</f>
        <v>n/a</v>
      </c>
      <c r="G13" s="9" t="str">
        <f>Data!AB14</f>
        <v>n/a</v>
      </c>
    </row>
    <row r="14" spans="1:7">
      <c r="A14" s="10" t="s">
        <v>15</v>
      </c>
      <c r="B14" s="11">
        <f>Data!W15</f>
        <v>-3.7593984962406291E-3</v>
      </c>
      <c r="C14" s="12" t="str">
        <f>Data!X15</f>
        <v>n/a</v>
      </c>
      <c r="D14" s="12" t="str">
        <f>Data!Y15</f>
        <v>n/a</v>
      </c>
      <c r="E14" s="12" t="str">
        <f>Data!Z15</f>
        <v>n/a</v>
      </c>
      <c r="F14" s="12" t="str">
        <f>Data!AA15</f>
        <v>n/a</v>
      </c>
      <c r="G14" s="12" t="str">
        <f>Data!AB15</f>
        <v>n/a</v>
      </c>
    </row>
    <row r="15" spans="1:7">
      <c r="A15" s="10" t="s">
        <v>17</v>
      </c>
      <c r="B15" s="11">
        <f>Data!W17</f>
        <v>-0.2480775803144224</v>
      </c>
      <c r="C15" s="12" t="str">
        <f>Data!X17</f>
        <v>n/a</v>
      </c>
      <c r="D15" s="12" t="str">
        <f>Data!Y17</f>
        <v>n/a</v>
      </c>
      <c r="E15" s="12" t="str">
        <f>Data!Z17</f>
        <v>n/a</v>
      </c>
      <c r="F15" s="12" t="str">
        <f>Data!AA17</f>
        <v>n/a</v>
      </c>
      <c r="G15" s="12" t="str">
        <f>Data!AB17</f>
        <v>n/a</v>
      </c>
    </row>
    <row r="16" spans="1:7">
      <c r="A16" s="10" t="s">
        <v>21</v>
      </c>
      <c r="B16" s="13" t="str">
        <f>Data!W160</f>
        <v>n/a</v>
      </c>
      <c r="C16" s="14" t="str">
        <f>Data!X160</f>
        <v>n/a</v>
      </c>
      <c r="D16" s="14" t="str">
        <f>Data!Y160</f>
        <v>n/a</v>
      </c>
      <c r="E16" s="14" t="str">
        <f>Data!Z160</f>
        <v>n/a</v>
      </c>
      <c r="F16" s="14" t="str">
        <f>Data!AA160</f>
        <v>n/a</v>
      </c>
      <c r="G16" s="14" t="str">
        <f>Data!AB160</f>
        <v>n/a</v>
      </c>
    </row>
    <row r="17" spans="1:7">
      <c r="A17" s="5" t="s">
        <v>22</v>
      </c>
      <c r="B17" s="6"/>
      <c r="C17" s="6"/>
      <c r="D17" s="6"/>
      <c r="E17" s="6"/>
      <c r="F17" s="6"/>
      <c r="G17" s="6"/>
    </row>
    <row r="18" spans="1:7">
      <c r="A18" s="7" t="s">
        <v>23</v>
      </c>
      <c r="B18" s="8">
        <f>Data!W19</f>
        <v>482</v>
      </c>
      <c r="C18" s="9">
        <f>Data!X19</f>
        <v>500.4</v>
      </c>
      <c r="D18" s="9">
        <f>Data!Y19</f>
        <v>469.7</v>
      </c>
      <c r="E18" s="9">
        <f>Data!Z19</f>
        <v>468.5</v>
      </c>
      <c r="F18" s="9">
        <f>Data!AA19</f>
        <v>464.6</v>
      </c>
      <c r="G18" s="9">
        <f>Data!AB19</f>
        <v>482.5</v>
      </c>
    </row>
    <row r="19" spans="1:7">
      <c r="A19" s="10" t="s">
        <v>15</v>
      </c>
      <c r="B19" s="11">
        <f>Data!W20</f>
        <v>-3.7924151696606789E-2</v>
      </c>
      <c r="C19" s="12">
        <f>Data!X20</f>
        <v>3.8174273858921026E-2</v>
      </c>
      <c r="D19" s="12">
        <f>Data!Y20</f>
        <v>-6.1350919264588355E-2</v>
      </c>
      <c r="E19" s="12">
        <f>Data!Z20</f>
        <v>-2.5548222269533571E-3</v>
      </c>
      <c r="F19" s="12">
        <f>Data!AA20</f>
        <v>-8.3244397011739135E-3</v>
      </c>
      <c r="G19" s="12">
        <f>Data!AB20</f>
        <v>3.8527765820060234E-2</v>
      </c>
    </row>
    <row r="20" spans="1:7">
      <c r="A20" s="10" t="s">
        <v>17</v>
      </c>
      <c r="B20" s="11">
        <f>Data!W22</f>
        <v>-0.3262764244238795</v>
      </c>
      <c r="C20" s="12">
        <f>Data!X22</f>
        <v>2.501221623142369E-4</v>
      </c>
      <c r="D20" s="12">
        <f>Data!Y22</f>
        <v>-2.3176645405667329E-2</v>
      </c>
      <c r="E20" s="12">
        <f>Data!Z22</f>
        <v>-6.3905741491541712E-2</v>
      </c>
      <c r="F20" s="12">
        <f>Data!AA22</f>
        <v>-1.0879261928127271E-2</v>
      </c>
      <c r="G20" s="12">
        <f>Data!AB22</f>
        <v>3.020332611888632E-2</v>
      </c>
    </row>
    <row r="21" spans="1:7">
      <c r="A21" s="7" t="s">
        <v>24</v>
      </c>
      <c r="B21" s="8">
        <f>Data!W24</f>
        <v>449</v>
      </c>
      <c r="C21" s="9" t="str">
        <f>Data!X24</f>
        <v>n/a</v>
      </c>
      <c r="D21" s="9" t="str">
        <f>Data!Y24</f>
        <v>n/a</v>
      </c>
      <c r="E21" s="9" t="str">
        <f>Data!Z24</f>
        <v>n/a</v>
      </c>
      <c r="F21" s="9" t="str">
        <f>Data!AA24</f>
        <v>n/a</v>
      </c>
      <c r="G21" s="9" t="str">
        <f>Data!AB24</f>
        <v>n/a</v>
      </c>
    </row>
    <row r="22" spans="1:7">
      <c r="A22" s="10" t="s">
        <v>15</v>
      </c>
      <c r="B22" s="11">
        <f>Data!W25</f>
        <v>-8.8300220750552327E-3</v>
      </c>
      <c r="C22" s="12" t="str">
        <f>Data!X25</f>
        <v>n/a</v>
      </c>
      <c r="D22" s="12" t="str">
        <f>Data!Y25</f>
        <v>n/a</v>
      </c>
      <c r="E22" s="12" t="str">
        <f>Data!Z25</f>
        <v>n/a</v>
      </c>
      <c r="F22" s="12" t="str">
        <f>Data!AA25</f>
        <v>n/a</v>
      </c>
      <c r="G22" s="12" t="str">
        <f>Data!AB25</f>
        <v>n/a</v>
      </c>
    </row>
    <row r="23" spans="1:7">
      <c r="A23" s="10" t="s">
        <v>17</v>
      </c>
      <c r="B23" s="11" t="str">
        <f>Data!W27</f>
        <v>n/a</v>
      </c>
      <c r="C23" s="12" t="str">
        <f>Data!X27</f>
        <v>n/a</v>
      </c>
      <c r="D23" s="12" t="str">
        <f>Data!Y27</f>
        <v>n/a</v>
      </c>
      <c r="E23" s="12" t="str">
        <f>Data!Z27</f>
        <v>n/a</v>
      </c>
      <c r="F23" s="12" t="str">
        <f>Data!AA27</f>
        <v>n/a</v>
      </c>
      <c r="G23" s="12" t="str">
        <f>Data!AB27</f>
        <v>n/a</v>
      </c>
    </row>
    <row r="24" spans="1:7">
      <c r="A24" s="5" t="s">
        <v>25</v>
      </c>
      <c r="B24" s="6"/>
      <c r="C24" s="6"/>
      <c r="D24" s="6"/>
      <c r="E24" s="6"/>
      <c r="F24" s="6"/>
      <c r="G24" s="6"/>
    </row>
    <row r="25" spans="1:7">
      <c r="A25" s="7" t="s">
        <v>26</v>
      </c>
      <c r="B25" s="8">
        <f>Data!W29</f>
        <v>3227</v>
      </c>
      <c r="C25" s="9">
        <f>Data!X29</f>
        <v>3402.1</v>
      </c>
      <c r="D25" s="9">
        <f>Data!Y29</f>
        <v>3668.6</v>
      </c>
      <c r="E25" s="9">
        <f>Data!Z29</f>
        <v>3963.8</v>
      </c>
      <c r="F25" s="9">
        <f>Data!AA29</f>
        <v>4341.2</v>
      </c>
      <c r="G25" s="9">
        <f>Data!AB29</f>
        <v>4791.6000000000004</v>
      </c>
    </row>
    <row r="26" spans="1:7">
      <c r="A26" s="10" t="s">
        <v>15</v>
      </c>
      <c r="B26" s="11">
        <f>Data!W30</f>
        <v>1.8302303565793654E-2</v>
      </c>
      <c r="C26" s="12">
        <f>Data!X30</f>
        <v>5.4260923458320454E-2</v>
      </c>
      <c r="D26" s="12">
        <f>Data!Y30</f>
        <v>7.8333970194879532E-2</v>
      </c>
      <c r="E26" s="12">
        <f>Data!Z30</f>
        <v>8.0466663032219499E-2</v>
      </c>
      <c r="F26" s="12">
        <f>Data!AA30</f>
        <v>9.521166557343963E-2</v>
      </c>
      <c r="G26" s="12">
        <f>Data!AB30</f>
        <v>0.10375011517552757</v>
      </c>
    </row>
    <row r="27" spans="1:7">
      <c r="A27" s="10" t="s">
        <v>17</v>
      </c>
      <c r="B27" s="11">
        <f>Data!W32</f>
        <v>4.6197211123367499E-2</v>
      </c>
      <c r="C27" s="12">
        <f>Data!X32</f>
        <v>7.2563227024114108E-2</v>
      </c>
      <c r="D27" s="12">
        <f>Data!Y32</f>
        <v>0.13259489365319999</v>
      </c>
      <c r="E27" s="12">
        <f>Data!Z32</f>
        <v>0.15880063322709903</v>
      </c>
      <c r="F27" s="12">
        <f>Data!AA32</f>
        <v>0.17567832860565913</v>
      </c>
      <c r="G27" s="12">
        <f>Data!AB32</f>
        <v>0.1989617807489672</v>
      </c>
    </row>
    <row r="28" spans="1:7">
      <c r="A28" s="7" t="s">
        <v>27</v>
      </c>
      <c r="B28" s="8">
        <f>Data!W34</f>
        <v>2939</v>
      </c>
      <c r="C28" s="9">
        <f>Data!X34</f>
        <v>3104.4</v>
      </c>
      <c r="D28" s="9">
        <f>Data!Y34</f>
        <v>3378.4</v>
      </c>
      <c r="E28" s="9">
        <f>Data!Z34</f>
        <v>3694.2</v>
      </c>
      <c r="F28" s="9">
        <f>Data!AA34</f>
        <v>4034</v>
      </c>
      <c r="G28" s="9">
        <f>Data!AB34</f>
        <v>4478.8</v>
      </c>
    </row>
    <row r="29" spans="1:7">
      <c r="A29" s="10" t="s">
        <v>15</v>
      </c>
      <c r="B29" s="11">
        <f>Data!W35</f>
        <v>2.3328690807799424E-2</v>
      </c>
      <c r="C29" s="12">
        <f>Data!X35</f>
        <v>5.6277645457638581E-2</v>
      </c>
      <c r="D29" s="12">
        <f>Data!Y35</f>
        <v>8.8261821930163631E-2</v>
      </c>
      <c r="E29" s="12">
        <f>Data!Z35</f>
        <v>9.3476201752308752E-2</v>
      </c>
      <c r="F29" s="12">
        <f>Data!AA35</f>
        <v>9.1982025878404094E-2</v>
      </c>
      <c r="G29" s="12">
        <f>Data!AB35</f>
        <v>0.11026276648487854</v>
      </c>
    </row>
    <row r="30" spans="1:7">
      <c r="A30" s="10" t="s">
        <v>17</v>
      </c>
      <c r="B30" s="11">
        <f>Data!W37</f>
        <v>5.2719371811383642E-2</v>
      </c>
      <c r="C30" s="12">
        <f>Data!X37</f>
        <v>7.9606336265438005E-2</v>
      </c>
      <c r="D30" s="12">
        <f>Data!Y37</f>
        <v>0.14453946738780221</v>
      </c>
      <c r="E30" s="12">
        <f>Data!Z37</f>
        <v>0.18173802368247238</v>
      </c>
      <c r="F30" s="12">
        <f>Data!AA37</f>
        <v>0.18545822763071285</v>
      </c>
      <c r="G30" s="12">
        <f>Data!AB37</f>
        <v>0.20224479236328263</v>
      </c>
    </row>
    <row r="31" spans="1:7">
      <c r="A31" s="7" t="s">
        <v>28</v>
      </c>
      <c r="B31" s="8">
        <f>Data!W39</f>
        <v>2750</v>
      </c>
      <c r="C31" s="9" t="str">
        <f>Data!X39</f>
        <v>n/a</v>
      </c>
      <c r="D31" s="9" t="str">
        <f>Data!Y39</f>
        <v>n/a</v>
      </c>
      <c r="E31" s="9" t="str">
        <f>Data!Z39</f>
        <v>n/a</v>
      </c>
      <c r="F31" s="9" t="str">
        <f>Data!AA39</f>
        <v>n/a</v>
      </c>
      <c r="G31" s="9" t="str">
        <f>Data!AB39</f>
        <v>n/a</v>
      </c>
    </row>
    <row r="32" spans="1:7">
      <c r="A32" s="10" t="s">
        <v>15</v>
      </c>
      <c r="B32" s="11">
        <f>Data!W40</f>
        <v>3.969754253308122E-2</v>
      </c>
      <c r="C32" s="12" t="str">
        <f>Data!X40</f>
        <v>n/a</v>
      </c>
      <c r="D32" s="12" t="str">
        <f>Data!Y40</f>
        <v>n/a</v>
      </c>
      <c r="E32" s="12" t="str">
        <f>Data!Z40</f>
        <v>n/a</v>
      </c>
      <c r="F32" s="12" t="str">
        <f>Data!AA40</f>
        <v>n/a</v>
      </c>
      <c r="G32" s="12" t="str">
        <f>Data!AB40</f>
        <v>n/a</v>
      </c>
    </row>
    <row r="33" spans="1:7">
      <c r="A33" s="10" t="s">
        <v>17</v>
      </c>
      <c r="B33" s="11">
        <f>Data!W42</f>
        <v>7.9697542533081228E-2</v>
      </c>
      <c r="C33" s="12" t="str">
        <f>Data!X42</f>
        <v>n/a</v>
      </c>
      <c r="D33" s="12" t="str">
        <f>Data!Y42</f>
        <v>n/a</v>
      </c>
      <c r="E33" s="12" t="str">
        <f>Data!Z42</f>
        <v>n/a</v>
      </c>
      <c r="F33" s="12" t="str">
        <f>Data!AA42</f>
        <v>n/a</v>
      </c>
      <c r="G33" s="12" t="str">
        <f>Data!AB42</f>
        <v>n/a</v>
      </c>
    </row>
    <row r="34" spans="1:7">
      <c r="A34" s="5" t="s">
        <v>29</v>
      </c>
      <c r="B34" s="6"/>
      <c r="C34" s="6"/>
      <c r="D34" s="6"/>
      <c r="E34" s="6"/>
      <c r="F34" s="6"/>
      <c r="G34" s="6"/>
    </row>
    <row r="35" spans="1:7">
      <c r="A35" s="7" t="s">
        <v>30</v>
      </c>
      <c r="B35" s="15">
        <f>Data!W44</f>
        <v>0.12</v>
      </c>
      <c r="C35" s="16">
        <f>Data!X44</f>
        <v>0.15</v>
      </c>
      <c r="D35" s="16" t="str">
        <f>Data!Y44</f>
        <v>n/a</v>
      </c>
      <c r="E35" s="16" t="str">
        <f>Data!Z44</f>
        <v>n/a</v>
      </c>
      <c r="F35" s="16" t="str">
        <f>Data!AA44</f>
        <v>n/a</v>
      </c>
      <c r="G35" s="16" t="str">
        <f>Data!AB44</f>
        <v>n/a</v>
      </c>
    </row>
    <row r="36" spans="1:7">
      <c r="A36" s="10" t="s">
        <v>17</v>
      </c>
      <c r="B36" s="11">
        <f>Data!W45</f>
        <v>0.2</v>
      </c>
      <c r="C36" s="12">
        <f>Data!X45</f>
        <v>0.27</v>
      </c>
      <c r="D36" s="12" t="str">
        <f>Data!Y45</f>
        <v>n/a</v>
      </c>
      <c r="E36" s="12" t="str">
        <f>Data!Z45</f>
        <v>n/a</v>
      </c>
      <c r="F36" s="12" t="str">
        <f>Data!AA45</f>
        <v>n/a</v>
      </c>
      <c r="G36" s="12" t="str">
        <f>Data!AB45</f>
        <v>n/a</v>
      </c>
    </row>
    <row r="37" spans="1:7">
      <c r="A37" s="7" t="s">
        <v>31</v>
      </c>
      <c r="B37" s="15">
        <f>Data!W47</f>
        <v>-7.0000000000000007E-2</v>
      </c>
      <c r="C37" s="16">
        <f>Data!X47</f>
        <v>-7.4999999999999997E-2</v>
      </c>
      <c r="D37" s="16" t="str">
        <f>Data!Y47</f>
        <v>n/a</v>
      </c>
      <c r="E37" s="16" t="str">
        <f>Data!Z47</f>
        <v>n/a</v>
      </c>
      <c r="F37" s="16" t="str">
        <f>Data!AA47</f>
        <v>n/a</v>
      </c>
      <c r="G37" s="16" t="str">
        <f>Data!AB47</f>
        <v>n/a</v>
      </c>
    </row>
    <row r="38" spans="1:7">
      <c r="A38" s="10" t="s">
        <v>17</v>
      </c>
      <c r="B38" s="11">
        <f>Data!W48</f>
        <v>-9.0000000000000011E-2</v>
      </c>
      <c r="C38" s="12">
        <f>Data!X48</f>
        <v>-0.14500000000000002</v>
      </c>
      <c r="D38" s="12" t="str">
        <f>Data!Y48</f>
        <v>n/a</v>
      </c>
      <c r="E38" s="12" t="str">
        <f>Data!Z48</f>
        <v>n/a</v>
      </c>
      <c r="F38" s="12" t="str">
        <f>Data!AA48</f>
        <v>n/a</v>
      </c>
      <c r="G38" s="12" t="str">
        <f>Data!AB48</f>
        <v>n/a</v>
      </c>
    </row>
    <row r="39" spans="1:7">
      <c r="A39" s="5" t="s">
        <v>32</v>
      </c>
      <c r="B39" s="6"/>
      <c r="C39" s="6"/>
      <c r="D39" s="6"/>
      <c r="E39" s="6"/>
      <c r="F39" s="6"/>
      <c r="G39" s="6"/>
    </row>
    <row r="40" spans="1:7">
      <c r="A40" s="7" t="s">
        <v>33</v>
      </c>
      <c r="B40" s="17" t="str">
        <f>Data!W158</f>
        <v>&gt;30%</v>
      </c>
      <c r="C40" s="18" t="str">
        <f>Data!X158</f>
        <v>n/a</v>
      </c>
      <c r="D40" s="18" t="str">
        <f>Data!Y158</f>
        <v>n/a</v>
      </c>
      <c r="E40" s="18" t="str">
        <f>Data!Z158</f>
        <v>n/a</v>
      </c>
      <c r="F40" s="18" t="str">
        <f>Data!AA158</f>
        <v>n/a</v>
      </c>
      <c r="G40" s="18" t="str">
        <f>Data!AB158</f>
        <v>n/a</v>
      </c>
    </row>
    <row r="41" spans="1:7">
      <c r="A41" s="10" t="s">
        <v>17</v>
      </c>
      <c r="B41" s="13" t="str">
        <f>Data!W159</f>
        <v>&gt;60%</v>
      </c>
      <c r="C41" s="14" t="str">
        <f>Data!X159</f>
        <v>n/a</v>
      </c>
      <c r="D41" s="14" t="str">
        <f>Data!Y159</f>
        <v>n/a</v>
      </c>
      <c r="E41" s="14" t="str">
        <f>Data!Z159</f>
        <v>n/a</v>
      </c>
      <c r="F41" s="14" t="str">
        <f>Data!AA159</f>
        <v>n/a</v>
      </c>
      <c r="G41" s="14" t="str">
        <f>Data!AB159</f>
        <v>n/a</v>
      </c>
    </row>
    <row r="42" spans="1:7">
      <c r="A42" s="19" t="s">
        <v>34</v>
      </c>
      <c r="B42" s="20" t="str">
        <f>Data!W96</f>
        <v>n/a</v>
      </c>
      <c r="C42" s="21" t="str">
        <f>Data!X96</f>
        <v>n/a</v>
      </c>
      <c r="D42" s="21" t="str">
        <f>Data!Y96</f>
        <v>n/a</v>
      </c>
      <c r="E42" s="21" t="str">
        <f>Data!Z96</f>
        <v>n/a</v>
      </c>
      <c r="F42" s="21" t="str">
        <f>Data!AA96</f>
        <v>n/a</v>
      </c>
      <c r="G42" s="21" t="str">
        <f>Data!AB96</f>
        <v>n/a</v>
      </c>
    </row>
    <row r="43" spans="1:7">
      <c r="A43" s="19" t="s">
        <v>35</v>
      </c>
      <c r="B43" s="20" t="str">
        <f>Data!W98</f>
        <v>n/a</v>
      </c>
      <c r="C43" s="21" t="str">
        <f>Data!X98</f>
        <v>n/a</v>
      </c>
      <c r="D43" s="21" t="str">
        <f>Data!Y98</f>
        <v>n/a</v>
      </c>
      <c r="E43" s="21" t="str">
        <f>Data!Z98</f>
        <v>n/a</v>
      </c>
      <c r="F43" s="21" t="str">
        <f>Data!AA98</f>
        <v>n/a</v>
      </c>
      <c r="G43" s="21" t="str">
        <f>Data!AB98</f>
        <v>n/a</v>
      </c>
    </row>
    <row r="44" spans="1:7">
      <c r="A44" s="7" t="s">
        <v>36</v>
      </c>
      <c r="B44" s="15">
        <f>Data!W155</f>
        <v>-0.21282408399400043</v>
      </c>
      <c r="C44" s="16">
        <f>Data!X155</f>
        <v>-0.18747873426335493</v>
      </c>
      <c r="D44" s="16">
        <f>Data!Y155</f>
        <v>-0.16287552159218188</v>
      </c>
      <c r="E44" s="16">
        <f>Data!Z155</f>
        <v>-0.1588644601905318</v>
      </c>
      <c r="F44" s="16">
        <f>Data!AA155</f>
        <v>-0.16001382624738147</v>
      </c>
      <c r="G44" s="16">
        <f>Data!AB155</f>
        <v>-0.145951718088555</v>
      </c>
    </row>
    <row r="45" spans="1:7">
      <c r="A45" s="10" t="s">
        <v>17</v>
      </c>
      <c r="B45" s="11">
        <f>Data!W156</f>
        <v>-0.42098509860662803</v>
      </c>
      <c r="C45" s="12">
        <f>Data!X156</f>
        <v>-0.40030281825735536</v>
      </c>
      <c r="D45" s="12">
        <f>Data!Y156</f>
        <v>-0.35035425585553681</v>
      </c>
      <c r="E45" s="12">
        <f>Data!Z156</f>
        <v>-0.32173998178271368</v>
      </c>
      <c r="F45" s="12">
        <f>Data!AA156</f>
        <v>-0.31887828643791327</v>
      </c>
      <c r="G45" s="12">
        <f>Data!AB156</f>
        <v>-0.30596554433593648</v>
      </c>
    </row>
    <row r="46" spans="1:7">
      <c r="A46" s="5" t="s">
        <v>37</v>
      </c>
      <c r="B46" s="6"/>
      <c r="C46" s="6"/>
      <c r="D46" s="6"/>
      <c r="E46" s="6"/>
      <c r="F46" s="6"/>
      <c r="G46" s="6"/>
    </row>
    <row r="47" spans="1:7">
      <c r="A47" s="7" t="s">
        <v>38</v>
      </c>
      <c r="B47" s="15">
        <f>Data!W100</f>
        <v>0.68247755008058941</v>
      </c>
      <c r="C47" s="16">
        <f>Data!X100</f>
        <v>0.68469987891368267</v>
      </c>
      <c r="D47" s="16">
        <f>Data!Y100</f>
        <v>0.69050281601366326</v>
      </c>
      <c r="E47" s="16">
        <f>Data!Z100</f>
        <v>0.69529528007904529</v>
      </c>
      <c r="F47" s="16">
        <f>Data!AA100</f>
        <v>0.70030267093827991</v>
      </c>
      <c r="G47" s="16">
        <f>Data!AB100</f>
        <v>0.70260681023012861</v>
      </c>
    </row>
    <row r="48" spans="1:7">
      <c r="A48" s="10" t="s">
        <v>39</v>
      </c>
      <c r="B48" s="22">
        <f>Data!W118</f>
        <v>-38.105385620699209</v>
      </c>
      <c r="C48" s="23">
        <f>Data!X118</f>
        <v>22.223288330932569</v>
      </c>
      <c r="D48" s="23">
        <f>Data!Y118</f>
        <v>58.029370999805877</v>
      </c>
      <c r="E48" s="23">
        <f>Data!Z118</f>
        <v>47.92464065382029</v>
      </c>
      <c r="F48" s="23">
        <f>Data!AA118</f>
        <v>50.073908592346285</v>
      </c>
      <c r="G48" s="23">
        <f>Data!AB118</f>
        <v>23.041392918486949</v>
      </c>
    </row>
    <row r="49" spans="1:7">
      <c r="A49" s="7" t="s">
        <v>41</v>
      </c>
      <c r="B49" s="15">
        <f>Data!W102</f>
        <v>0.2311766060326963</v>
      </c>
      <c r="C49" s="16">
        <f>Data!X102</f>
        <v>0.23499394568413767</v>
      </c>
      <c r="D49" s="16">
        <f>Data!Y102</f>
        <v>0.2522009637476364</v>
      </c>
      <c r="E49" s="16">
        <f>Data!Z102</f>
        <v>0.26499201945732309</v>
      </c>
      <c r="F49" s="16">
        <f>Data!AA102</f>
        <v>0.27679345805972</v>
      </c>
      <c r="G49" s="16">
        <f>Data!AB102</f>
        <v>0.28799750324414003</v>
      </c>
    </row>
    <row r="50" spans="1:7">
      <c r="A50" s="10" t="s">
        <v>39</v>
      </c>
      <c r="B50" s="22">
        <f>Data!W121</f>
        <v>183.41887657811722</v>
      </c>
      <c r="C50" s="23">
        <f>Data!X121</f>
        <v>38.17339651441376</v>
      </c>
      <c r="D50" s="23">
        <f>Data!Y121</f>
        <v>172.07018063498725</v>
      </c>
      <c r="E50" s="23">
        <f>Data!Z121</f>
        <v>127.91055709686694</v>
      </c>
      <c r="F50" s="23">
        <f>Data!AA121</f>
        <v>118.01438602396908</v>
      </c>
      <c r="G50" s="23">
        <f>Data!AB121</f>
        <v>112.04045184420031</v>
      </c>
    </row>
    <row r="51" spans="1:7">
      <c r="A51" s="7" t="s">
        <v>42</v>
      </c>
      <c r="B51" s="15">
        <f>Data!W104</f>
        <v>0.27814874510706883</v>
      </c>
      <c r="C51" s="16">
        <f>Data!X104</f>
        <v>0.28050942743469987</v>
      </c>
      <c r="D51" s="16">
        <f>Data!Y104</f>
        <v>0.29676920887298458</v>
      </c>
      <c r="E51" s="16">
        <f>Data!Z104</f>
        <v>0.30928403131412929</v>
      </c>
      <c r="F51" s="16">
        <f>Data!AA104</f>
        <v>0.32072499424748219</v>
      </c>
      <c r="G51" s="16">
        <f>Data!AB104</f>
        <v>0.33016311043216873</v>
      </c>
    </row>
    <row r="52" spans="1:7">
      <c r="A52" s="10" t="s">
        <v>39</v>
      </c>
      <c r="B52" s="22">
        <f>Data!W124</f>
        <v>136.05808818980159</v>
      </c>
      <c r="C52" s="23">
        <f>Data!X124</f>
        <v>23.606823276310362</v>
      </c>
      <c r="D52" s="23">
        <f>Data!Y124</f>
        <v>162.59781438284716</v>
      </c>
      <c r="E52" s="23">
        <f>Data!Z124</f>
        <v>125.14822441144713</v>
      </c>
      <c r="F52" s="23">
        <f>Data!AA124</f>
        <v>114.40962933352894</v>
      </c>
      <c r="G52" s="23">
        <f>Data!AB124</f>
        <v>94.381161846865396</v>
      </c>
    </row>
    <row r="53" spans="1:7">
      <c r="A53" s="7" t="s">
        <v>43</v>
      </c>
      <c r="B53" s="15">
        <f>Data!W106</f>
        <v>0.17407322127561595</v>
      </c>
      <c r="C53" s="16">
        <f>Data!X106</f>
        <v>0.17752119010551806</v>
      </c>
      <c r="D53" s="16">
        <f>Data!Y106</f>
        <v>0.19039098875627755</v>
      </c>
      <c r="E53" s="16">
        <f>Data!Z106</f>
        <v>0.20392186668693471</v>
      </c>
      <c r="F53" s="16">
        <f>Data!AA106</f>
        <v>0.21627697045860844</v>
      </c>
      <c r="G53" s="16">
        <f>Data!AB106</f>
        <v>0.23669902593669412</v>
      </c>
    </row>
    <row r="54" spans="1:7">
      <c r="A54" s="10" t="s">
        <v>39</v>
      </c>
      <c r="B54" s="22">
        <f>Data!W127</f>
        <v>210.26129862873555</v>
      </c>
      <c r="C54" s="23">
        <f>Data!X127</f>
        <v>34.479688299021149</v>
      </c>
      <c r="D54" s="23">
        <f>Data!Y127</f>
        <v>128.69798650759489</v>
      </c>
      <c r="E54" s="23">
        <f>Data!Z127</f>
        <v>135.30877930657158</v>
      </c>
      <c r="F54" s="23">
        <f>Data!AA127</f>
        <v>123.55103771673731</v>
      </c>
      <c r="G54" s="23">
        <f>Data!AB127</f>
        <v>204.22055478085676</v>
      </c>
    </row>
    <row r="55" spans="1:7">
      <c r="A55" s="7" t="s">
        <v>44</v>
      </c>
      <c r="B55" s="15">
        <f>Data!W85</f>
        <v>0.66100000000000003</v>
      </c>
      <c r="C55" s="16">
        <f>Data!X85</f>
        <v>0.67490000000000006</v>
      </c>
      <c r="D55" s="16">
        <f>Data!Y85</f>
        <v>0.68230000000000002</v>
      </c>
      <c r="E55" s="16">
        <f>Data!Z85</f>
        <v>0.68640000000000001</v>
      </c>
      <c r="F55" s="16">
        <f>Data!AA85</f>
        <v>0.68969999999999998</v>
      </c>
      <c r="G55" s="16">
        <f>Data!AB85</f>
        <v>0.69</v>
      </c>
    </row>
    <row r="56" spans="1:7">
      <c r="A56" s="10" t="s">
        <v>39</v>
      </c>
      <c r="B56" s="22">
        <f>Data!W130</f>
        <v>-100.00000000000009</v>
      </c>
      <c r="C56" s="23">
        <f>Data!X130</f>
        <v>139.00000000000023</v>
      </c>
      <c r="D56" s="23">
        <f>Data!Y130</f>
        <v>73.999999999999616</v>
      </c>
      <c r="E56" s="23">
        <f>Data!Z130</f>
        <v>40.999999999999929</v>
      </c>
      <c r="F56" s="23">
        <f>Data!AA130</f>
        <v>32.999999999999694</v>
      </c>
      <c r="G56" s="23">
        <f>Data!AB130</f>
        <v>2.9999999999996696</v>
      </c>
    </row>
    <row r="57" spans="1:7">
      <c r="A57" s="7" t="s">
        <v>45</v>
      </c>
      <c r="B57" s="15">
        <f>Data!W87</f>
        <v>0.18579999999999999</v>
      </c>
      <c r="C57" s="16">
        <f>Data!X87</f>
        <v>0.21260000000000001</v>
      </c>
      <c r="D57" s="16">
        <f>Data!Y87</f>
        <v>0.2319</v>
      </c>
      <c r="E57" s="16">
        <f>Data!Z87</f>
        <v>0.25</v>
      </c>
      <c r="F57" s="16">
        <f>Data!AA87</f>
        <v>0.26440000000000002</v>
      </c>
      <c r="G57" s="16">
        <f>Data!AB87</f>
        <v>0.27889999999999998</v>
      </c>
    </row>
    <row r="58" spans="1:7">
      <c r="A58" s="10" t="s">
        <v>39</v>
      </c>
      <c r="B58" s="22">
        <f>Data!W133</f>
        <v>-1542.0000000000002</v>
      </c>
      <c r="C58" s="23">
        <f>Data!X133</f>
        <v>268.00000000000017</v>
      </c>
      <c r="D58" s="23">
        <f>Data!Y133</f>
        <v>192.99999999999983</v>
      </c>
      <c r="E58" s="23">
        <f>Data!Z133</f>
        <v>181.00000000000006</v>
      </c>
      <c r="F58" s="23">
        <f>Data!AA133</f>
        <v>144.00000000000023</v>
      </c>
      <c r="G58" s="23">
        <f>Data!AB133</f>
        <v>144.99999999999957</v>
      </c>
    </row>
    <row r="59" spans="1:7">
      <c r="A59" s="5" t="s">
        <v>46</v>
      </c>
      <c r="B59" s="6"/>
      <c r="C59" s="6"/>
      <c r="D59" s="6"/>
      <c r="E59" s="6"/>
      <c r="F59" s="6"/>
      <c r="G59" s="6"/>
    </row>
    <row r="60" spans="1:7">
      <c r="A60" s="7" t="s">
        <v>47</v>
      </c>
      <c r="B60" s="15">
        <f>Data!W108</f>
        <v>0.31752244991941059</v>
      </c>
      <c r="C60" s="16">
        <f>Data!X108</f>
        <v>0.31530012108631733</v>
      </c>
      <c r="D60" s="16">
        <f>Data!Y108</f>
        <v>0.30949718398633674</v>
      </c>
      <c r="E60" s="16">
        <f>Data!Z108</f>
        <v>0.30470471992095471</v>
      </c>
      <c r="F60" s="16">
        <f>Data!AA108</f>
        <v>0.29969732906172009</v>
      </c>
      <c r="G60" s="16">
        <f>Data!AB108</f>
        <v>0.29739318976987139</v>
      </c>
    </row>
    <row r="61" spans="1:7">
      <c r="A61" s="10" t="s">
        <v>39</v>
      </c>
      <c r="B61" s="22">
        <f>Data!W136</f>
        <v>38.105385620699209</v>
      </c>
      <c r="C61" s="23">
        <f>Data!X136</f>
        <v>-22.223288330932569</v>
      </c>
      <c r="D61" s="23">
        <f>Data!Y136</f>
        <v>-58.029370999805877</v>
      </c>
      <c r="E61" s="23">
        <f>Data!Z136</f>
        <v>-47.92464065382029</v>
      </c>
      <c r="F61" s="23">
        <f>Data!AA136</f>
        <v>-50.073908592346285</v>
      </c>
      <c r="G61" s="23">
        <f>Data!AB136</f>
        <v>-23.041392918486949</v>
      </c>
    </row>
    <row r="62" spans="1:7">
      <c r="A62" s="7" t="s">
        <v>48</v>
      </c>
      <c r="B62" s="15">
        <f>Data!W110</f>
        <v>0.21874280451300945</v>
      </c>
      <c r="C62" s="16">
        <f>Data!X110</f>
        <v>0.21280920256011071</v>
      </c>
      <c r="D62" s="16">
        <f>Data!Y110</f>
        <v>0.20738873187890125</v>
      </c>
      <c r="E62" s="16">
        <f>Data!Z110</f>
        <v>0.20126168579463405</v>
      </c>
      <c r="F62" s="16">
        <f>Data!AA110</f>
        <v>0.19447050285855888</v>
      </c>
      <c r="G62" s="16">
        <f>Data!AB110</f>
        <v>0.17999638627441319</v>
      </c>
    </row>
    <row r="63" spans="1:7">
      <c r="A63" s="10" t="s">
        <v>39</v>
      </c>
      <c r="B63" s="22">
        <f>Data!W139</f>
        <v>-79.423293743405011</v>
      </c>
      <c r="C63" s="23">
        <f>Data!X139</f>
        <v>-59.336019528987428</v>
      </c>
      <c r="D63" s="23">
        <f>Data!Y139</f>
        <v>-54.204706812094607</v>
      </c>
      <c r="E63" s="23">
        <f>Data!Z139</f>
        <v>-61.270460842672016</v>
      </c>
      <c r="F63" s="23">
        <f>Data!AA139</f>
        <v>-67.911829360751682</v>
      </c>
      <c r="G63" s="23">
        <f>Data!AB139</f>
        <v>-144.74116584145685</v>
      </c>
    </row>
    <row r="64" spans="1:7">
      <c r="A64" s="7" t="s">
        <v>49</v>
      </c>
      <c r="B64" s="15">
        <f>Data!W112</f>
        <v>0.23232788395118581</v>
      </c>
      <c r="C64" s="16">
        <f>Data!X112</f>
        <v>0.23562099982701953</v>
      </c>
      <c r="D64" s="16">
        <f>Data!Y112</f>
        <v>0.22802594392371348</v>
      </c>
      <c r="E64" s="16">
        <f>Data!Z112</f>
        <v>0.2212700463631527</v>
      </c>
      <c r="F64" s="16">
        <f>Data!AA112</f>
        <v>0.21848947731737969</v>
      </c>
      <c r="G64" s="16">
        <f>Data!AB112</f>
        <v>0.22487228765255673</v>
      </c>
    </row>
    <row r="65" spans="1:7">
      <c r="A65" s="10" t="s">
        <v>39</v>
      </c>
      <c r="B65" s="22">
        <f>Data!W142</f>
        <v>-144.40352429238939</v>
      </c>
      <c r="C65" s="23">
        <f>Data!X142</f>
        <v>32.93115875833724</v>
      </c>
      <c r="D65" s="23">
        <f>Data!Y142</f>
        <v>-75.950559033060586</v>
      </c>
      <c r="E65" s="23">
        <f>Data!Z142</f>
        <v>-67.558975605607756</v>
      </c>
      <c r="F65" s="23">
        <f>Data!AA142</f>
        <v>-27.805690457730069</v>
      </c>
      <c r="G65" s="23">
        <f>Data!AB142</f>
        <v>63.828103351770416</v>
      </c>
    </row>
    <row r="66" spans="1:7">
      <c r="A66" s="7" t="s">
        <v>50</v>
      </c>
      <c r="B66" s="15">
        <f>Data!W114</f>
        <v>0.45107068846419524</v>
      </c>
      <c r="C66" s="16">
        <f>Data!X114</f>
        <v>0.44843020238713027</v>
      </c>
      <c r="D66" s="16">
        <f>Data!Y114</f>
        <v>0.43541467580261473</v>
      </c>
      <c r="E66" s="16">
        <f>Data!Z114</f>
        <v>0.42253173215778667</v>
      </c>
      <c r="F66" s="16">
        <f>Data!AA114</f>
        <v>0.4129599801759386</v>
      </c>
      <c r="G66" s="16">
        <f>Data!AB114</f>
        <v>0.40486867392696996</v>
      </c>
    </row>
    <row r="67" spans="1:7">
      <c r="A67" s="10" t="s">
        <v>39</v>
      </c>
      <c r="B67" s="22">
        <f>Data!W145</f>
        <v>-223.82681803579442</v>
      </c>
      <c r="C67" s="23">
        <f>Data!X145</f>
        <v>-26.404860770649631</v>
      </c>
      <c r="D67" s="23">
        <f>Data!Y145</f>
        <v>-130.15526584515547</v>
      </c>
      <c r="E67" s="23">
        <f>Data!Z145</f>
        <v>-128.8294364482806</v>
      </c>
      <c r="F67" s="23">
        <f>Data!AA145</f>
        <v>-95.717519818480639</v>
      </c>
      <c r="G67" s="23">
        <f>Data!AB145</f>
        <v>-80.913062489686439</v>
      </c>
    </row>
    <row r="68" spans="1:7">
      <c r="A68" s="7" t="s">
        <v>51</v>
      </c>
      <c r="B68" s="15">
        <f>Data!W116</f>
        <v>6.3320285516923785E-2</v>
      </c>
      <c r="C68" s="16">
        <f>Data!X116</f>
        <v>6.097560975609756E-2</v>
      </c>
      <c r="D68" s="16">
        <f>Data!Y116</f>
        <v>6.0142732244881363E-2</v>
      </c>
      <c r="E68" s="16">
        <f>Data!Z116</f>
        <v>5.9208026145777914E-2</v>
      </c>
      <c r="F68" s="16">
        <f>Data!AA116</f>
        <v>5.7418977998831791E-2</v>
      </c>
      <c r="G68" s="16">
        <f>Data!AB116</f>
        <v>5.8065999770035646E-2</v>
      </c>
    </row>
    <row r="69" spans="1:7">
      <c r="A69" s="10" t="s">
        <v>39</v>
      </c>
      <c r="B69" s="22" t="str">
        <f>Data!W148</f>
        <v>n/a</v>
      </c>
      <c r="C69" s="23">
        <f>Data!X148</f>
        <v>-23.44675760826226</v>
      </c>
      <c r="D69" s="23">
        <f>Data!Y148</f>
        <v>-8.3287751121619706</v>
      </c>
      <c r="E69" s="23">
        <f>Data!Z148</f>
        <v>-9.3470609910344802</v>
      </c>
      <c r="F69" s="23">
        <f>Data!AA148</f>
        <v>-17.890481469461232</v>
      </c>
      <c r="G69" s="23">
        <f>Data!AB148</f>
        <v>6.4702177120385533</v>
      </c>
    </row>
    <row r="70" spans="1:7">
      <c r="A70" s="7" t="s">
        <v>52</v>
      </c>
      <c r="B70" s="15">
        <f>Data!W89</f>
        <v>0.20499999999999999</v>
      </c>
      <c r="C70" s="16">
        <f>Data!X89</f>
        <v>0.2049</v>
      </c>
      <c r="D70" s="16">
        <f>Data!Y89</f>
        <v>0.2046</v>
      </c>
      <c r="E70" s="16">
        <f>Data!Z89</f>
        <v>0.20430000000000001</v>
      </c>
      <c r="F70" s="16">
        <f>Data!AA89</f>
        <v>0.20649999999999999</v>
      </c>
      <c r="G70" s="16">
        <f>Data!AB89</f>
        <v>0.2112</v>
      </c>
    </row>
    <row r="71" spans="1:7">
      <c r="A71" s="10" t="s">
        <v>39</v>
      </c>
      <c r="B71" s="22">
        <f>Data!W151</f>
        <v>-310</v>
      </c>
      <c r="C71" s="23">
        <f>Data!X151</f>
        <v>-0.99999999999988987</v>
      </c>
      <c r="D71" s="23">
        <f>Data!Y151</f>
        <v>-2.9999999999999472</v>
      </c>
      <c r="E71" s="23">
        <f>Data!Z151</f>
        <v>-2.9999999999999472</v>
      </c>
      <c r="F71" s="23">
        <f>Data!AA151</f>
        <v>21.999999999999797</v>
      </c>
      <c r="G71" s="23">
        <f>Data!AB151</f>
        <v>47.000000000000099</v>
      </c>
    </row>
    <row r="72" spans="1:7">
      <c r="A72" s="5" t="s">
        <v>53</v>
      </c>
      <c r="B72" s="6"/>
      <c r="C72" s="6"/>
      <c r="D72" s="6"/>
      <c r="E72" s="6"/>
      <c r="F72" s="6"/>
      <c r="G72" s="6"/>
    </row>
    <row r="73" spans="1:7">
      <c r="A73" s="7" t="s">
        <v>54</v>
      </c>
      <c r="B73" s="24">
        <f>Data!W91</f>
        <v>4.84</v>
      </c>
      <c r="C73" s="25">
        <f>Data!X91</f>
        <v>5.36</v>
      </c>
      <c r="D73" s="25">
        <f>Data!Y91</f>
        <v>6.11</v>
      </c>
      <c r="E73" s="25">
        <f>Data!Z91</f>
        <v>7.01</v>
      </c>
      <c r="F73" s="25">
        <f>Data!AA91</f>
        <v>7.99</v>
      </c>
      <c r="G73" s="25">
        <f>Data!AB91</f>
        <v>9.5</v>
      </c>
    </row>
    <row r="74" spans="1:7">
      <c r="A74" s="10" t="s">
        <v>15</v>
      </c>
      <c r="B74" s="11">
        <f>Data!W92</f>
        <v>0.16346153846153832</v>
      </c>
      <c r="C74" s="12">
        <f>Data!X92</f>
        <v>0.10743801652892571</v>
      </c>
      <c r="D74" s="12">
        <f>Data!Y92</f>
        <v>0.1399253731343284</v>
      </c>
      <c r="E74" s="12">
        <f>Data!Z92</f>
        <v>0.14729950900163646</v>
      </c>
      <c r="F74" s="12">
        <f>Data!AA92</f>
        <v>0.13980028530670485</v>
      </c>
      <c r="G74" s="12">
        <f>Data!AB92</f>
        <v>0.18898623279098881</v>
      </c>
    </row>
    <row r="75" spans="1:7">
      <c r="A75" s="10" t="s">
        <v>17</v>
      </c>
      <c r="B75" s="11" t="str">
        <f>Data!W94</f>
        <v>n/a</v>
      </c>
      <c r="C75" s="12">
        <f>Data!X94</f>
        <v>0.27089955499046403</v>
      </c>
      <c r="D75" s="12">
        <f>Data!Y94</f>
        <v>0.24736338966325411</v>
      </c>
      <c r="E75" s="12">
        <f>Data!Z94</f>
        <v>0.28722488213596487</v>
      </c>
      <c r="F75" s="12">
        <f>Data!AA94</f>
        <v>0.28709979430834132</v>
      </c>
      <c r="G75" s="12">
        <f>Data!AB94</f>
        <v>0.32878651809769366</v>
      </c>
    </row>
    <row r="77" spans="1:7">
      <c r="A77" s="26" t="s">
        <v>55</v>
      </c>
      <c r="B77" s="45"/>
      <c r="C77" s="45"/>
      <c r="D77" s="45"/>
      <c r="E77" s="45"/>
      <c r="F77" s="45"/>
      <c r="G77" s="45"/>
    </row>
    <row r="78" spans="1:7">
      <c r="A78" s="2" t="s">
        <v>56</v>
      </c>
      <c r="B78" s="45"/>
      <c r="C78" s="45"/>
      <c r="D78" s="45"/>
      <c r="E78" s="45"/>
      <c r="F78" s="45"/>
      <c r="G78" s="45"/>
    </row>
    <row r="79" spans="1:7">
      <c r="A79" s="2" t="s">
        <v>57</v>
      </c>
      <c r="B79" s="45"/>
      <c r="C79" s="45"/>
      <c r="D79" s="45"/>
      <c r="E79" s="45"/>
      <c r="F79" s="45"/>
      <c r="G79" s="45"/>
    </row>
    <row r="80" spans="1:7">
      <c r="A80" s="2" t="s">
        <v>58</v>
      </c>
      <c r="B80" s="45"/>
      <c r="C80" s="45"/>
      <c r="D80" s="45"/>
      <c r="E80" s="45"/>
      <c r="F80" s="45"/>
      <c r="G80" s="45"/>
    </row>
    <row r="81" spans="1:1">
      <c r="A81" s="2" t="s">
        <v>59</v>
      </c>
    </row>
    <row r="82" spans="1:1">
      <c r="A82" s="2" t="s">
        <v>60</v>
      </c>
    </row>
    <row r="83" spans="1:1">
      <c r="A83" s="2" t="s">
        <v>61</v>
      </c>
    </row>
    <row r="84" spans="1:1">
      <c r="A84" s="2" t="s">
        <v>62</v>
      </c>
    </row>
    <row r="85" spans="1:1">
      <c r="A85" s="2" t="s">
        <v>63</v>
      </c>
    </row>
    <row r="86" spans="1:1">
      <c r="A86" s="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showGridLines="0" workbookViewId="0"/>
  </sheetViews>
  <sheetFormatPr defaultRowHeight="14.25"/>
  <cols>
    <col min="1" max="1" width="52" customWidth="1"/>
    <col min="2" max="7" width="12" customWidth="1"/>
  </cols>
  <sheetData>
    <row r="1" spans="1:6">
      <c r="A1" s="1" t="s">
        <v>72</v>
      </c>
      <c r="B1" s="45"/>
      <c r="C1" s="45"/>
      <c r="D1" s="45"/>
      <c r="E1" s="45"/>
      <c r="F1" s="45"/>
    </row>
    <row r="2" spans="1:6">
      <c r="A2" s="2" t="s">
        <v>73</v>
      </c>
      <c r="B2" s="45"/>
      <c r="C2" s="45"/>
      <c r="D2" s="45"/>
      <c r="E2" s="45"/>
      <c r="F2" s="45"/>
    </row>
    <row r="3" spans="1:6">
      <c r="A3" s="3" t="s">
        <v>74</v>
      </c>
      <c r="B3" s="3" t="s">
        <v>3</v>
      </c>
      <c r="C3" s="3" t="s">
        <v>4</v>
      </c>
      <c r="D3" s="3" t="s">
        <v>66</v>
      </c>
      <c r="E3" s="3" t="s">
        <v>5</v>
      </c>
      <c r="F3" s="3" t="s">
        <v>6</v>
      </c>
    </row>
    <row r="4" spans="1:6">
      <c r="A4" s="19" t="s">
        <v>75</v>
      </c>
      <c r="B4" s="27">
        <v>733</v>
      </c>
      <c r="C4" s="27">
        <v>759</v>
      </c>
      <c r="D4" s="27">
        <v>2870</v>
      </c>
      <c r="E4" s="27">
        <v>721</v>
      </c>
      <c r="F4" s="27">
        <v>770</v>
      </c>
    </row>
    <row r="5" spans="1:6">
      <c r="A5" s="19" t="s">
        <v>76</v>
      </c>
      <c r="B5" s="27">
        <v>16</v>
      </c>
      <c r="C5" s="27">
        <v>16</v>
      </c>
      <c r="D5" s="27">
        <v>66</v>
      </c>
      <c r="E5" s="27">
        <v>17</v>
      </c>
      <c r="F5" s="27">
        <v>18</v>
      </c>
    </row>
    <row r="6" spans="1:6">
      <c r="A6" s="19" t="s">
        <v>77</v>
      </c>
      <c r="B6" s="27">
        <v>0</v>
      </c>
      <c r="C6" s="27">
        <v>0</v>
      </c>
      <c r="D6" s="27">
        <v>0</v>
      </c>
      <c r="E6" s="27">
        <v>6</v>
      </c>
      <c r="F6" s="27">
        <v>2</v>
      </c>
    </row>
    <row r="7" spans="1:6">
      <c r="A7" s="19" t="s">
        <v>78</v>
      </c>
      <c r="B7" s="27">
        <v>1</v>
      </c>
      <c r="C7" s="27">
        <v>2</v>
      </c>
      <c r="D7" s="27">
        <v>5</v>
      </c>
      <c r="E7" s="27">
        <v>0</v>
      </c>
      <c r="F7" s="27">
        <v>0</v>
      </c>
    </row>
    <row r="8" spans="1:6">
      <c r="A8" s="19" t="s">
        <v>79</v>
      </c>
      <c r="B8" s="27">
        <v>0</v>
      </c>
      <c r="C8" s="27">
        <v>0</v>
      </c>
      <c r="D8" s="27">
        <v>23</v>
      </c>
      <c r="E8" s="27">
        <v>0</v>
      </c>
      <c r="F8" s="27">
        <v>0</v>
      </c>
    </row>
    <row r="9" spans="1:6">
      <c r="A9" s="7" t="s">
        <v>80</v>
      </c>
      <c r="B9" s="28">
        <v>750</v>
      </c>
      <c r="C9" s="28">
        <v>777</v>
      </c>
      <c r="D9" s="28">
        <v>2964</v>
      </c>
      <c r="E9" s="28">
        <v>744</v>
      </c>
      <c r="F9" s="28">
        <v>790</v>
      </c>
    </row>
    <row r="10" spans="1:6">
      <c r="A10" s="19" t="s">
        <v>81</v>
      </c>
      <c r="B10" s="27">
        <v>227</v>
      </c>
      <c r="C10" s="27">
        <v>202</v>
      </c>
      <c r="D10" s="27">
        <v>807</v>
      </c>
      <c r="E10" s="27">
        <v>209</v>
      </c>
      <c r="F10" s="27">
        <v>245</v>
      </c>
    </row>
    <row r="11" spans="1:6">
      <c r="A11" s="19" t="s">
        <v>82</v>
      </c>
      <c r="B11" s="27">
        <v>17</v>
      </c>
      <c r="C11" s="27">
        <v>18</v>
      </c>
      <c r="D11" s="27">
        <v>94</v>
      </c>
      <c r="E11" s="27">
        <v>23</v>
      </c>
      <c r="F11" s="27">
        <v>20</v>
      </c>
    </row>
    <row r="12" spans="1:6">
      <c r="A12" s="19" t="s">
        <v>83</v>
      </c>
      <c r="B12" s="27">
        <v>1</v>
      </c>
      <c r="C12" s="27">
        <v>1</v>
      </c>
      <c r="D12" s="27">
        <v>17</v>
      </c>
      <c r="E12" s="27">
        <v>1</v>
      </c>
      <c r="F12" s="27">
        <v>0</v>
      </c>
    </row>
    <row r="13" spans="1:6">
      <c r="A13" s="19" t="s">
        <v>84</v>
      </c>
      <c r="B13" s="27">
        <v>20</v>
      </c>
      <c r="C13" s="27">
        <v>46</v>
      </c>
      <c r="D13" s="27">
        <v>76</v>
      </c>
      <c r="E13" s="27">
        <v>7</v>
      </c>
      <c r="F13" s="27">
        <v>-5</v>
      </c>
    </row>
    <row r="14" spans="1:6">
      <c r="A14" s="19" t="s">
        <v>85</v>
      </c>
      <c r="B14" s="27">
        <v>0</v>
      </c>
      <c r="C14" s="27">
        <v>8</v>
      </c>
      <c r="D14" s="27">
        <v>10</v>
      </c>
      <c r="E14" s="27">
        <v>0</v>
      </c>
      <c r="F14" s="27">
        <v>0</v>
      </c>
    </row>
    <row r="15" spans="1:6">
      <c r="A15" s="7" t="s">
        <v>86</v>
      </c>
      <c r="B15" s="28">
        <v>265</v>
      </c>
      <c r="C15" s="28">
        <v>275</v>
      </c>
      <c r="D15" s="28">
        <v>1004</v>
      </c>
      <c r="E15" s="28">
        <v>239</v>
      </c>
      <c r="F15" s="28">
        <v>260</v>
      </c>
    </row>
    <row r="16" spans="1:6">
      <c r="A16" s="19" t="s">
        <v>87</v>
      </c>
      <c r="B16" s="27">
        <v>150</v>
      </c>
      <c r="C16" s="27">
        <v>334</v>
      </c>
      <c r="D16" s="27">
        <v>850</v>
      </c>
      <c r="E16" s="27">
        <v>134</v>
      </c>
      <c r="F16" s="27">
        <v>207</v>
      </c>
    </row>
    <row r="17" spans="1:7">
      <c r="A17" s="19" t="s">
        <v>88</v>
      </c>
      <c r="B17" s="27">
        <v>-6</v>
      </c>
      <c r="C17" s="27">
        <v>-192</v>
      </c>
      <c r="D17" s="27">
        <v>-333</v>
      </c>
      <c r="E17" s="27">
        <v>37</v>
      </c>
      <c r="F17" s="27">
        <v>-23</v>
      </c>
      <c r="G17" s="45"/>
    </row>
    <row r="18" spans="1:7">
      <c r="A18" s="19" t="s">
        <v>89</v>
      </c>
      <c r="B18" s="27">
        <v>23</v>
      </c>
      <c r="C18" s="27">
        <v>-6</v>
      </c>
      <c r="D18" s="27">
        <v>42</v>
      </c>
      <c r="E18" s="27">
        <v>23</v>
      </c>
      <c r="F18" s="27">
        <v>-1</v>
      </c>
      <c r="G18" s="45"/>
    </row>
    <row r="19" spans="1:7">
      <c r="A19" s="7" t="s">
        <v>90</v>
      </c>
      <c r="B19" s="28">
        <v>206</v>
      </c>
      <c r="C19" s="28">
        <v>208</v>
      </c>
      <c r="D19" s="28">
        <v>756</v>
      </c>
      <c r="E19" s="28">
        <v>178</v>
      </c>
      <c r="F19" s="28">
        <v>200</v>
      </c>
      <c r="G19" s="45"/>
    </row>
    <row r="21" spans="1:7" ht="26.1" customHeight="1">
      <c r="A21" s="46" t="s">
        <v>91</v>
      </c>
      <c r="B21" s="49"/>
      <c r="C21" s="49"/>
      <c r="D21" s="49"/>
      <c r="E21" s="49"/>
      <c r="F21" s="49"/>
      <c r="G21" s="49"/>
    </row>
    <row r="22" spans="1:7" ht="26.1" customHeight="1">
      <c r="A22" s="47" t="s">
        <v>92</v>
      </c>
      <c r="B22" s="49"/>
      <c r="C22" s="49"/>
      <c r="D22" s="49"/>
      <c r="E22" s="49"/>
      <c r="F22" s="49"/>
      <c r="G22" s="49"/>
    </row>
    <row r="23" spans="1:7" ht="26.1" customHeight="1">
      <c r="A23" s="47" t="s">
        <v>93</v>
      </c>
      <c r="B23" s="49"/>
      <c r="C23" s="49"/>
      <c r="D23" s="49"/>
      <c r="E23" s="49"/>
      <c r="F23" s="49"/>
      <c r="G23" s="49"/>
    </row>
    <row r="24" spans="1:7" ht="26.1" customHeight="1">
      <c r="A24" s="47" t="s">
        <v>94</v>
      </c>
      <c r="B24" s="49"/>
      <c r="C24" s="49"/>
      <c r="D24" s="49"/>
      <c r="E24" s="49"/>
      <c r="F24" s="49"/>
      <c r="G24" s="49"/>
    </row>
    <row r="25" spans="1:7" ht="26.1" customHeight="1">
      <c r="A25" s="47" t="s">
        <v>95</v>
      </c>
      <c r="B25" s="49"/>
      <c r="C25" s="49"/>
      <c r="D25" s="49"/>
      <c r="E25" s="49"/>
      <c r="F25" s="49"/>
      <c r="G25" s="49"/>
    </row>
    <row r="26" spans="1:7" ht="26.1" customHeight="1">
      <c r="A26" s="47" t="s">
        <v>96</v>
      </c>
      <c r="B26" s="49"/>
      <c r="C26" s="49"/>
      <c r="D26" s="49"/>
      <c r="E26" s="49"/>
      <c r="F26" s="49"/>
      <c r="G26" s="49"/>
    </row>
    <row r="27" spans="1:7" ht="26.1" customHeight="1">
      <c r="A27" s="47" t="s">
        <v>97</v>
      </c>
      <c r="B27" s="49"/>
      <c r="C27" s="49"/>
      <c r="D27" s="49"/>
      <c r="E27" s="49"/>
      <c r="F27" s="49"/>
      <c r="G27" s="49"/>
    </row>
    <row r="29" spans="1:7">
      <c r="A29" s="1" t="s">
        <v>98</v>
      </c>
      <c r="B29" s="45"/>
      <c r="C29" s="45"/>
      <c r="D29" s="45"/>
      <c r="E29" s="45"/>
      <c r="F29" s="45"/>
      <c r="G29" s="45"/>
    </row>
    <row r="30" spans="1:7" ht="26.1" customHeight="1">
      <c r="A30" s="46" t="s">
        <v>99</v>
      </c>
      <c r="B30" s="49"/>
      <c r="C30" s="49"/>
      <c r="D30" s="49"/>
      <c r="E30" s="49"/>
      <c r="F30" s="49"/>
      <c r="G30" s="49"/>
    </row>
    <row r="31" spans="1:7" ht="26.1" customHeight="1">
      <c r="A31" s="47" t="s">
        <v>100</v>
      </c>
      <c r="B31" s="49"/>
      <c r="C31" s="49"/>
      <c r="D31" s="49"/>
      <c r="E31" s="49"/>
      <c r="F31" s="49"/>
      <c r="G31" s="49"/>
    </row>
    <row r="32" spans="1:7" ht="26.1" customHeight="1">
      <c r="A32" s="47" t="s">
        <v>101</v>
      </c>
      <c r="B32" s="49"/>
      <c r="C32" s="49"/>
      <c r="D32" s="49"/>
      <c r="E32" s="49"/>
      <c r="F32" s="49"/>
      <c r="G32" s="49"/>
    </row>
    <row r="33" spans="1:7" ht="26.1" customHeight="1">
      <c r="A33" s="47" t="s">
        <v>102</v>
      </c>
      <c r="B33" s="49"/>
      <c r="C33" s="49"/>
      <c r="D33" s="49"/>
      <c r="E33" s="49"/>
      <c r="F33" s="49"/>
      <c r="G33" s="49"/>
    </row>
    <row r="34" spans="1:7" ht="26.1" customHeight="1">
      <c r="A34" s="47" t="s">
        <v>103</v>
      </c>
      <c r="B34" s="49"/>
      <c r="C34" s="49"/>
      <c r="D34" s="49"/>
      <c r="E34" s="49"/>
      <c r="F34" s="49"/>
      <c r="G34" s="49"/>
    </row>
    <row r="35" spans="1:7" ht="26.1" customHeight="1">
      <c r="A35" s="47" t="s">
        <v>104</v>
      </c>
      <c r="B35" s="49"/>
      <c r="C35" s="49"/>
      <c r="D35" s="49"/>
      <c r="E35" s="49"/>
      <c r="F35" s="49"/>
      <c r="G35" s="49"/>
    </row>
    <row r="36" spans="1:7" ht="26.1" customHeight="1">
      <c r="A36" s="47" t="s">
        <v>105</v>
      </c>
      <c r="B36" s="49"/>
      <c r="C36" s="49"/>
      <c r="D36" s="49"/>
      <c r="E36" s="49"/>
      <c r="F36" s="49"/>
      <c r="G36" s="49"/>
    </row>
    <row r="37" spans="1:7" ht="26.1" customHeight="1">
      <c r="A37" s="47" t="s">
        <v>106</v>
      </c>
      <c r="B37" s="49"/>
      <c r="C37" s="49"/>
      <c r="D37" s="49"/>
      <c r="E37" s="49"/>
      <c r="F37" s="49"/>
      <c r="G37" s="49"/>
    </row>
    <row r="38" spans="1:7" ht="26.1" customHeight="1">
      <c r="A38" s="47" t="s">
        <v>107</v>
      </c>
      <c r="B38" s="49"/>
      <c r="C38" s="49"/>
      <c r="D38" s="49"/>
      <c r="E38" s="49"/>
      <c r="F38" s="49"/>
      <c r="G38" s="49"/>
    </row>
    <row r="40" spans="1:7">
      <c r="A40" s="1" t="s">
        <v>108</v>
      </c>
      <c r="B40" s="45"/>
      <c r="C40" s="45"/>
      <c r="D40" s="45"/>
      <c r="E40" s="45"/>
      <c r="F40" s="45"/>
      <c r="G40" s="45"/>
    </row>
    <row r="41" spans="1:7">
      <c r="A41" s="3" t="s">
        <v>109</v>
      </c>
      <c r="B41" s="3" t="s">
        <v>110</v>
      </c>
      <c r="C41" s="3" t="s">
        <v>111</v>
      </c>
      <c r="D41" s="3" t="s">
        <v>112</v>
      </c>
      <c r="E41" s="3" t="s">
        <v>111</v>
      </c>
      <c r="F41" s="3" t="s">
        <v>113</v>
      </c>
      <c r="G41" s="3" t="s">
        <v>111</v>
      </c>
    </row>
    <row r="42" spans="1:7">
      <c r="A42" s="19" t="s">
        <v>13</v>
      </c>
      <c r="B42" s="29">
        <v>4343</v>
      </c>
      <c r="C42" s="30">
        <f t="shared" ref="C42:C56" si="0">B42/B$42</f>
        <v>1</v>
      </c>
      <c r="D42" s="29">
        <v>4343</v>
      </c>
      <c r="E42" s="30">
        <f t="shared" ref="E42:E56" si="1">D42/D$42</f>
        <v>1</v>
      </c>
      <c r="F42" s="29">
        <v>4624.8</v>
      </c>
      <c r="G42" s="30">
        <f t="shared" ref="G42:G56" si="2">F42/F$42</f>
        <v>1</v>
      </c>
    </row>
    <row r="43" spans="1:7">
      <c r="A43" s="19" t="s">
        <v>114</v>
      </c>
      <c r="B43" s="29">
        <v>-1379</v>
      </c>
      <c r="C43" s="30">
        <f t="shared" si="0"/>
        <v>-0.31752244991941053</v>
      </c>
      <c r="D43" s="29">
        <v>-1473</v>
      </c>
      <c r="E43" s="30">
        <f t="shared" si="1"/>
        <v>-0.33916647478701356</v>
      </c>
      <c r="F43" s="29">
        <v>-1464.1</v>
      </c>
      <c r="G43" s="30">
        <f t="shared" si="2"/>
        <v>-0.316575851928732</v>
      </c>
    </row>
    <row r="44" spans="1:7">
      <c r="A44" s="7" t="s">
        <v>115</v>
      </c>
      <c r="B44" s="31">
        <v>2964</v>
      </c>
      <c r="C44" s="32">
        <f t="shared" si="0"/>
        <v>0.68247755008058941</v>
      </c>
      <c r="D44" s="31">
        <v>2870</v>
      </c>
      <c r="E44" s="32">
        <f t="shared" si="1"/>
        <v>0.66083352521298644</v>
      </c>
      <c r="F44" s="31">
        <v>3160.7</v>
      </c>
      <c r="G44" s="32">
        <f t="shared" si="2"/>
        <v>0.68342414807126783</v>
      </c>
    </row>
    <row r="45" spans="1:7">
      <c r="A45" s="7" t="s">
        <v>116</v>
      </c>
      <c r="B45" s="31">
        <v>-950</v>
      </c>
      <c r="C45" s="32">
        <f t="shared" si="0"/>
        <v>-0.21874280451300945</v>
      </c>
      <c r="D45" s="31">
        <v>-967</v>
      </c>
      <c r="E45" s="32">
        <f t="shared" si="1"/>
        <v>-0.22265714943587381</v>
      </c>
      <c r="F45" s="31">
        <v>-984.2</v>
      </c>
      <c r="G45" s="32">
        <f t="shared" si="2"/>
        <v>-0.21280920256011071</v>
      </c>
    </row>
    <row r="46" spans="1:7">
      <c r="A46" s="7" t="s">
        <v>117</v>
      </c>
      <c r="B46" s="31">
        <v>-1009</v>
      </c>
      <c r="C46" s="32">
        <f t="shared" si="0"/>
        <v>-0.23232788395118581</v>
      </c>
      <c r="D46" s="31">
        <v>-1086</v>
      </c>
      <c r="E46" s="32">
        <f t="shared" si="1"/>
        <v>-0.25005756389592448</v>
      </c>
      <c r="F46" s="31">
        <v>-1089.7</v>
      </c>
      <c r="G46" s="32">
        <f t="shared" si="2"/>
        <v>-0.23562099982701953</v>
      </c>
    </row>
    <row r="47" spans="1:7">
      <c r="A47" s="19" t="s">
        <v>118</v>
      </c>
      <c r="B47" s="29">
        <v>0</v>
      </c>
      <c r="C47" s="30">
        <f t="shared" si="0"/>
        <v>0</v>
      </c>
      <c r="D47" s="29">
        <v>-10</v>
      </c>
      <c r="E47" s="30">
        <f t="shared" si="1"/>
        <v>-2.3025558369790468E-3</v>
      </c>
      <c r="F47" s="29">
        <v>0</v>
      </c>
      <c r="G47" s="30">
        <f t="shared" si="2"/>
        <v>0</v>
      </c>
    </row>
    <row r="48" spans="1:7">
      <c r="A48" s="7" t="s">
        <v>119</v>
      </c>
      <c r="B48" s="31">
        <v>1004</v>
      </c>
      <c r="C48" s="32">
        <f t="shared" si="0"/>
        <v>0.2311766060326963</v>
      </c>
      <c r="D48" s="31">
        <v>807</v>
      </c>
      <c r="E48" s="32">
        <f t="shared" si="1"/>
        <v>0.18581625604420907</v>
      </c>
      <c r="F48" s="31">
        <v>1088.5</v>
      </c>
      <c r="G48" s="32">
        <f t="shared" si="2"/>
        <v>0.23536152914720634</v>
      </c>
    </row>
    <row r="49" spans="1:7">
      <c r="A49" s="19" t="s">
        <v>120</v>
      </c>
      <c r="B49" s="29">
        <v>-54</v>
      </c>
      <c r="C49" s="30">
        <f t="shared" si="0"/>
        <v>-1.2433801519686852E-2</v>
      </c>
      <c r="D49" s="29">
        <v>279</v>
      </c>
      <c r="E49" s="30">
        <f t="shared" si="1"/>
        <v>6.4241307851715404E-2</v>
      </c>
      <c r="F49" s="29">
        <v>-57.8</v>
      </c>
      <c r="G49" s="30">
        <f t="shared" si="2"/>
        <v>-1.2497837744334888E-2</v>
      </c>
    </row>
    <row r="50" spans="1:7">
      <c r="A50" s="7" t="s">
        <v>121</v>
      </c>
      <c r="B50" s="31">
        <v>950</v>
      </c>
      <c r="C50" s="32">
        <f t="shared" si="0"/>
        <v>0.21874280451300945</v>
      </c>
      <c r="D50" s="31">
        <v>1086</v>
      </c>
      <c r="E50" s="32">
        <f t="shared" si="1"/>
        <v>0.25005756389592448</v>
      </c>
      <c r="F50" s="31">
        <v>1030.7</v>
      </c>
      <c r="G50" s="32">
        <f t="shared" si="2"/>
        <v>0.22286369140287149</v>
      </c>
    </row>
    <row r="51" spans="1:7">
      <c r="A51" s="19" t="s">
        <v>122</v>
      </c>
      <c r="B51" s="29">
        <v>-194</v>
      </c>
      <c r="C51" s="30">
        <f t="shared" si="0"/>
        <v>-4.4669583237393506E-2</v>
      </c>
      <c r="D51" s="29">
        <v>-236</v>
      </c>
      <c r="E51" s="30">
        <f t="shared" si="1"/>
        <v>-5.4340317752705501E-2</v>
      </c>
      <c r="F51" s="29">
        <v>-211.2</v>
      </c>
      <c r="G51" s="30">
        <f t="shared" si="2"/>
        <v>-4.5666839647119872E-2</v>
      </c>
    </row>
    <row r="52" spans="1:7">
      <c r="A52" s="7" t="s">
        <v>123</v>
      </c>
      <c r="B52" s="31">
        <v>756</v>
      </c>
      <c r="C52" s="32">
        <f t="shared" si="0"/>
        <v>0.17407322127561595</v>
      </c>
      <c r="D52" s="31">
        <v>850</v>
      </c>
      <c r="E52" s="32">
        <f t="shared" si="1"/>
        <v>0.19571724614321898</v>
      </c>
      <c r="F52" s="31">
        <v>821</v>
      </c>
      <c r="G52" s="32">
        <f t="shared" si="2"/>
        <v>0.17752119010551806</v>
      </c>
    </row>
    <row r="53" spans="1:7">
      <c r="A53" s="19" t="s">
        <v>124</v>
      </c>
      <c r="B53" s="29">
        <v>275</v>
      </c>
      <c r="C53" s="30">
        <f t="shared" si="0"/>
        <v>6.3320285516923785E-2</v>
      </c>
      <c r="D53" s="29">
        <v>275</v>
      </c>
      <c r="E53" s="30">
        <f t="shared" si="1"/>
        <v>6.3320285516923785E-2</v>
      </c>
      <c r="F53" s="29">
        <v>282</v>
      </c>
      <c r="G53" s="30">
        <f t="shared" si="2"/>
        <v>6.097560975609756E-2</v>
      </c>
    </row>
    <row r="54" spans="1:7">
      <c r="A54" s="19" t="s">
        <v>125</v>
      </c>
      <c r="B54" s="29">
        <v>270</v>
      </c>
      <c r="C54" s="30">
        <f t="shared" si="0"/>
        <v>6.2169007598434259E-2</v>
      </c>
      <c r="D54" s="29">
        <v>270</v>
      </c>
      <c r="E54" s="30">
        <f t="shared" si="1"/>
        <v>6.2169007598434259E-2</v>
      </c>
      <c r="F54" s="29">
        <v>269.10000000000002</v>
      </c>
      <c r="G54" s="30">
        <f t="shared" si="2"/>
        <v>5.8186299948105868E-2</v>
      </c>
    </row>
    <row r="55" spans="1:7">
      <c r="A55" s="19" t="s">
        <v>126</v>
      </c>
      <c r="B55" s="29">
        <v>-148</v>
      </c>
      <c r="C55" s="30">
        <f t="shared" si="0"/>
        <v>-3.4077826387289893E-2</v>
      </c>
      <c r="D55" s="29">
        <v>-148</v>
      </c>
      <c r="E55" s="30">
        <f t="shared" si="1"/>
        <v>-3.4077826387289893E-2</v>
      </c>
      <c r="F55" s="29">
        <v>-197</v>
      </c>
      <c r="G55" s="30">
        <f t="shared" si="2"/>
        <v>-4.2596436602663899E-2</v>
      </c>
    </row>
    <row r="56" spans="1:7">
      <c r="A56" s="19" t="s">
        <v>127</v>
      </c>
      <c r="B56" s="29">
        <v>931</v>
      </c>
      <c r="C56" s="30">
        <f t="shared" si="0"/>
        <v>0.21436794842274925</v>
      </c>
      <c r="D56" s="29">
        <v>931</v>
      </c>
      <c r="E56" s="30">
        <f t="shared" si="1"/>
        <v>0.21436794842274925</v>
      </c>
      <c r="F56" s="29">
        <v>997</v>
      </c>
      <c r="G56" s="30">
        <f t="shared" si="2"/>
        <v>0.21557688981145129</v>
      </c>
    </row>
    <row r="58" spans="1:7" ht="26.1" customHeight="1">
      <c r="A58" s="48" t="s">
        <v>128</v>
      </c>
      <c r="B58" s="49"/>
      <c r="C58" s="49"/>
      <c r="D58" s="49"/>
      <c r="E58" s="49"/>
      <c r="F58" s="49"/>
      <c r="G58" s="49"/>
    </row>
    <row r="59" spans="1:7" ht="26.1" customHeight="1">
      <c r="A59" s="48" t="s">
        <v>129</v>
      </c>
      <c r="B59" s="49"/>
      <c r="C59" s="49"/>
      <c r="D59" s="49"/>
      <c r="E59" s="49"/>
      <c r="F59" s="49"/>
      <c r="G59" s="49"/>
    </row>
    <row r="60" spans="1:7" ht="26.1" customHeight="1">
      <c r="A60" s="48" t="s">
        <v>130</v>
      </c>
      <c r="B60" s="49"/>
      <c r="C60" s="49"/>
      <c r="D60" s="49"/>
      <c r="E60" s="49"/>
      <c r="F60" s="49"/>
      <c r="G60" s="49"/>
    </row>
  </sheetData>
  <mergeCells count="19">
    <mergeCell ref="A60:G60"/>
    <mergeCell ref="A36:G36"/>
    <mergeCell ref="A25:G25"/>
    <mergeCell ref="A37:G37"/>
    <mergeCell ref="A27:G27"/>
    <mergeCell ref="A32:G32"/>
    <mergeCell ref="A35:G35"/>
    <mergeCell ref="A38:G38"/>
    <mergeCell ref="A58:G58"/>
    <mergeCell ref="A31:G31"/>
    <mergeCell ref="A34:G34"/>
    <mergeCell ref="A30:G30"/>
    <mergeCell ref="A21:G21"/>
    <mergeCell ref="A26:G26"/>
    <mergeCell ref="A33:G33"/>
    <mergeCell ref="A23:G23"/>
    <mergeCell ref="A59:G59"/>
    <mergeCell ref="A22:G22"/>
    <mergeCell ref="A24:G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0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4.25"/>
  <cols>
    <col min="1" max="1" width="46" customWidth="1"/>
    <col min="2" max="2" width="8" customWidth="1"/>
    <col min="3" max="18" width="9" customWidth="1"/>
    <col min="19" max="20" width="2" customWidth="1"/>
    <col min="21" max="28" width="9" customWidth="1"/>
  </cols>
  <sheetData>
    <row r="1" spans="1:30">
      <c r="A1" s="33" t="s">
        <v>131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3" spans="1:30">
      <c r="A3" s="3" t="s">
        <v>2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45"/>
      <c r="T3" s="45" t="s">
        <v>139</v>
      </c>
      <c r="U3" s="3" t="s">
        <v>140</v>
      </c>
      <c r="V3" s="3" t="s">
        <v>141</v>
      </c>
      <c r="W3" s="3" t="s">
        <v>66</v>
      </c>
      <c r="X3" s="3" t="s">
        <v>67</v>
      </c>
      <c r="Y3" s="3" t="s">
        <v>68</v>
      </c>
      <c r="Z3" s="3" t="s">
        <v>69</v>
      </c>
      <c r="AA3" s="3" t="s">
        <v>70</v>
      </c>
      <c r="AB3" s="3" t="s">
        <v>71</v>
      </c>
      <c r="AC3" s="45"/>
      <c r="AD3" s="45"/>
    </row>
    <row r="4" spans="1:30">
      <c r="A4" s="34" t="s">
        <v>14</v>
      </c>
      <c r="B4" s="45" t="s">
        <v>142</v>
      </c>
      <c r="C4" s="35">
        <v>1056</v>
      </c>
      <c r="D4" s="35">
        <v>1092</v>
      </c>
      <c r="E4" s="35">
        <v>1080</v>
      </c>
      <c r="F4" s="35">
        <v>1104</v>
      </c>
      <c r="G4" s="35">
        <v>1041</v>
      </c>
      <c r="H4" s="35">
        <v>1059</v>
      </c>
      <c r="I4" s="35">
        <v>1084</v>
      </c>
      <c r="J4" s="35">
        <v>1159</v>
      </c>
      <c r="K4" s="35">
        <v>1091</v>
      </c>
      <c r="L4" s="35">
        <v>1159</v>
      </c>
      <c r="M4" s="35">
        <v>1154.2</v>
      </c>
      <c r="N4" s="35">
        <v>1219.8</v>
      </c>
      <c r="O4" s="35">
        <v>1159.5999999999999</v>
      </c>
      <c r="P4" s="35">
        <v>1217.8</v>
      </c>
      <c r="Q4" s="35">
        <v>1229.2</v>
      </c>
      <c r="R4" s="35">
        <v>1292.3</v>
      </c>
      <c r="S4" s="45"/>
      <c r="T4" s="45"/>
      <c r="U4" s="35">
        <v>4438</v>
      </c>
      <c r="V4" s="35">
        <v>4332</v>
      </c>
      <c r="W4" s="35">
        <v>4343</v>
      </c>
      <c r="X4" s="35">
        <v>4624.8</v>
      </c>
      <c r="Y4" s="35">
        <v>4918.3</v>
      </c>
      <c r="Z4" s="35">
        <v>5262.8</v>
      </c>
      <c r="AA4" s="35">
        <v>5649.7</v>
      </c>
      <c r="AB4" s="35">
        <v>6087.9</v>
      </c>
      <c r="AC4" s="45"/>
      <c r="AD4" s="2" t="s">
        <v>143</v>
      </c>
    </row>
    <row r="5" spans="1:30">
      <c r="A5" s="45" t="s">
        <v>144</v>
      </c>
      <c r="B5" s="45" t="s">
        <v>145</v>
      </c>
      <c r="C5" s="36" t="s">
        <v>146</v>
      </c>
      <c r="D5" s="36" t="s">
        <v>146</v>
      </c>
      <c r="E5" s="37">
        <v>-0.02</v>
      </c>
      <c r="F5" s="37">
        <v>0.01</v>
      </c>
      <c r="G5" s="36">
        <f t="shared" ref="G5:R5" si="0">IF(AND(ISNUMBER(G4),ISNUMBER(C4)),G4/C4-1,"n/a")</f>
        <v>-1.4204545454545414E-2</v>
      </c>
      <c r="H5" s="36">
        <f t="shared" si="0"/>
        <v>-3.0219780219780223E-2</v>
      </c>
      <c r="I5" s="36">
        <f t="shared" si="0"/>
        <v>3.7037037037037646E-3</v>
      </c>
      <c r="J5" s="36">
        <f t="shared" si="0"/>
        <v>4.98188405797102E-2</v>
      </c>
      <c r="K5" s="36">
        <f t="shared" si="0"/>
        <v>4.8030739673390999E-2</v>
      </c>
      <c r="L5" s="36">
        <f t="shared" si="0"/>
        <v>9.4428706326723288E-2</v>
      </c>
      <c r="M5" s="36">
        <f t="shared" si="0"/>
        <v>6.4760147601476081E-2</v>
      </c>
      <c r="N5" s="36">
        <f t="shared" si="0"/>
        <v>5.2459016393442637E-2</v>
      </c>
      <c r="O5" s="36">
        <f t="shared" si="0"/>
        <v>6.2878093492208853E-2</v>
      </c>
      <c r="P5" s="36">
        <f t="shared" si="0"/>
        <v>5.0733390854184712E-2</v>
      </c>
      <c r="Q5" s="36">
        <f t="shared" si="0"/>
        <v>6.4980072777681475E-2</v>
      </c>
      <c r="R5" s="36">
        <f t="shared" si="0"/>
        <v>5.9435973110345985E-2</v>
      </c>
      <c r="S5" s="45"/>
      <c r="T5" s="45"/>
      <c r="U5" s="38" t="s">
        <v>146</v>
      </c>
      <c r="V5" s="38">
        <f t="shared" ref="V5:AB5" si="1">IF(AND(ISNUMBER(V4),ISNUMBER(U4)),V4/U4-1,"n/a")</f>
        <v>-2.3884632717440235E-2</v>
      </c>
      <c r="W5" s="38">
        <f t="shared" si="1"/>
        <v>2.5392428439519055E-3</v>
      </c>
      <c r="X5" s="38">
        <f t="shared" si="1"/>
        <v>6.4886023486069533E-2</v>
      </c>
      <c r="Y5" s="38">
        <f t="shared" si="1"/>
        <v>6.346220377097378E-2</v>
      </c>
      <c r="Z5" s="38">
        <f t="shared" si="1"/>
        <v>7.0044527580668037E-2</v>
      </c>
      <c r="AA5" s="38">
        <f t="shared" si="1"/>
        <v>7.3515999087937933E-2</v>
      </c>
      <c r="AB5" s="38">
        <f t="shared" si="1"/>
        <v>7.7561640441085267E-2</v>
      </c>
      <c r="AC5" s="45"/>
      <c r="AD5" s="45"/>
    </row>
    <row r="6" spans="1:30">
      <c r="A6" s="45" t="s">
        <v>147</v>
      </c>
      <c r="B6" s="45" t="s">
        <v>148</v>
      </c>
      <c r="C6" s="36" t="s">
        <v>146</v>
      </c>
      <c r="D6" s="36">
        <f t="shared" ref="D6:R6" si="2">IF(AND(ISNUMBER(D4),ISNUMBER(C4)),D4/C4-1,"n/a")</f>
        <v>3.4090909090909172E-2</v>
      </c>
      <c r="E6" s="36">
        <f t="shared" si="2"/>
        <v>-1.098901098901095E-2</v>
      </c>
      <c r="F6" s="36">
        <f t="shared" si="2"/>
        <v>2.2222222222222143E-2</v>
      </c>
      <c r="G6" s="36">
        <f t="shared" si="2"/>
        <v>-5.7065217391304324E-2</v>
      </c>
      <c r="H6" s="36">
        <f t="shared" si="2"/>
        <v>1.7291066282420831E-2</v>
      </c>
      <c r="I6" s="36">
        <f t="shared" si="2"/>
        <v>2.3607176581680767E-2</v>
      </c>
      <c r="J6" s="36">
        <f t="shared" si="2"/>
        <v>6.9188191881918826E-2</v>
      </c>
      <c r="K6" s="36">
        <f t="shared" si="2"/>
        <v>-5.867126833477132E-2</v>
      </c>
      <c r="L6" s="36">
        <f t="shared" si="2"/>
        <v>6.2328139321723208E-2</v>
      </c>
      <c r="M6" s="36">
        <f t="shared" si="2"/>
        <v>-4.1415012942190854E-3</v>
      </c>
      <c r="N6" s="36">
        <f t="shared" si="2"/>
        <v>5.683590365621205E-2</v>
      </c>
      <c r="O6" s="36">
        <f t="shared" si="2"/>
        <v>-4.935235284472872E-2</v>
      </c>
      <c r="P6" s="36">
        <f t="shared" si="2"/>
        <v>5.0189720593308174E-2</v>
      </c>
      <c r="Q6" s="36">
        <f t="shared" si="2"/>
        <v>9.3611430448350408E-3</v>
      </c>
      <c r="R6" s="36">
        <f t="shared" si="2"/>
        <v>5.1334201106410626E-2</v>
      </c>
      <c r="S6" s="45"/>
      <c r="T6" s="45"/>
      <c r="U6" s="38" t="s">
        <v>146</v>
      </c>
      <c r="V6" s="38" t="s">
        <v>146</v>
      </c>
      <c r="W6" s="38" t="s">
        <v>146</v>
      </c>
      <c r="X6" s="38" t="s">
        <v>146</v>
      </c>
      <c r="Y6" s="38" t="s">
        <v>146</v>
      </c>
      <c r="Z6" s="38" t="s">
        <v>146</v>
      </c>
      <c r="AA6" s="38" t="s">
        <v>146</v>
      </c>
      <c r="AB6" s="38" t="s">
        <v>146</v>
      </c>
      <c r="AC6" s="45"/>
      <c r="AD6" s="45"/>
    </row>
    <row r="7" spans="1:30">
      <c r="A7" s="45" t="s">
        <v>149</v>
      </c>
      <c r="B7" s="45" t="s">
        <v>150</v>
      </c>
      <c r="C7" s="36" t="s">
        <v>146</v>
      </c>
      <c r="D7" s="36" t="s">
        <v>146</v>
      </c>
      <c r="E7" s="36" t="s">
        <v>146</v>
      </c>
      <c r="F7" s="36" t="s">
        <v>146</v>
      </c>
      <c r="G7" s="36" t="str">
        <f t="shared" ref="G7:R7" si="3">IF(AND(ISNUMBER(G5),ISNUMBER(C5)),G5+C5,"n/a")</f>
        <v>n/a</v>
      </c>
      <c r="H7" s="36" t="str">
        <f t="shared" si="3"/>
        <v>n/a</v>
      </c>
      <c r="I7" s="36">
        <f t="shared" si="3"/>
        <v>-1.6296296296296236E-2</v>
      </c>
      <c r="J7" s="36">
        <f t="shared" si="3"/>
        <v>5.9818840579710202E-2</v>
      </c>
      <c r="K7" s="36">
        <f t="shared" si="3"/>
        <v>3.3826194218845584E-2</v>
      </c>
      <c r="L7" s="36">
        <f t="shared" si="3"/>
        <v>6.4208926106943065E-2</v>
      </c>
      <c r="M7" s="36">
        <f t="shared" si="3"/>
        <v>6.8463851305179846E-2</v>
      </c>
      <c r="N7" s="36">
        <f t="shared" si="3"/>
        <v>0.10227785697315284</v>
      </c>
      <c r="O7" s="36">
        <f t="shared" si="3"/>
        <v>0.11090883316559985</v>
      </c>
      <c r="P7" s="36">
        <f t="shared" si="3"/>
        <v>0.145162097180908</v>
      </c>
      <c r="Q7" s="36">
        <f t="shared" si="3"/>
        <v>0.12974022037915756</v>
      </c>
      <c r="R7" s="36">
        <f t="shared" si="3"/>
        <v>0.11189498950378862</v>
      </c>
      <c r="S7" s="45"/>
      <c r="T7" s="45"/>
      <c r="U7" s="38" t="s">
        <v>146</v>
      </c>
      <c r="V7" s="38" t="s">
        <v>146</v>
      </c>
      <c r="W7" s="38">
        <f t="shared" ref="W7:AB7" si="4">IF(AND(ISNUMBER(W5),ISNUMBER(V5)),W5+V5,"n/a")</f>
        <v>-2.134538987348833E-2</v>
      </c>
      <c r="X7" s="38">
        <f t="shared" si="4"/>
        <v>6.7425266330021438E-2</v>
      </c>
      <c r="Y7" s="38">
        <f t="shared" si="4"/>
        <v>0.12834822725704331</v>
      </c>
      <c r="Z7" s="38">
        <f t="shared" si="4"/>
        <v>0.13350673135164182</v>
      </c>
      <c r="AA7" s="38">
        <f t="shared" si="4"/>
        <v>0.14356052666860597</v>
      </c>
      <c r="AB7" s="38">
        <f t="shared" si="4"/>
        <v>0.1510776395290232</v>
      </c>
      <c r="AC7" s="45"/>
      <c r="AD7" s="45"/>
    </row>
    <row r="9" spans="1:30">
      <c r="A9" s="34" t="s">
        <v>18</v>
      </c>
      <c r="B9" s="45" t="s">
        <v>142</v>
      </c>
      <c r="C9" s="35">
        <v>978</v>
      </c>
      <c r="D9" s="35">
        <v>1017</v>
      </c>
      <c r="E9" s="35">
        <v>1005</v>
      </c>
      <c r="F9" s="35">
        <v>1024</v>
      </c>
      <c r="G9" s="35">
        <v>969</v>
      </c>
      <c r="H9" s="35">
        <v>996</v>
      </c>
      <c r="I9" s="35">
        <v>1032</v>
      </c>
      <c r="J9" s="35">
        <v>1104</v>
      </c>
      <c r="K9" s="35">
        <v>1039</v>
      </c>
      <c r="L9" s="35">
        <v>1103</v>
      </c>
      <c r="M9" s="35">
        <v>1103.4000000000001</v>
      </c>
      <c r="N9" s="35">
        <v>1167.9000000000001</v>
      </c>
      <c r="O9" s="35">
        <v>1115</v>
      </c>
      <c r="P9" s="35">
        <v>1170.8</v>
      </c>
      <c r="Q9" s="35">
        <v>1182.7</v>
      </c>
      <c r="R9" s="35">
        <v>1243.4000000000001</v>
      </c>
      <c r="S9" s="45"/>
      <c r="T9" s="45"/>
      <c r="U9" s="35">
        <v>4054</v>
      </c>
      <c r="V9" s="35">
        <v>4024</v>
      </c>
      <c r="W9" s="35">
        <v>4100</v>
      </c>
      <c r="X9" s="35">
        <v>4414.1000000000004</v>
      </c>
      <c r="Y9" s="35">
        <v>4729</v>
      </c>
      <c r="Z9" s="35">
        <v>5075.7</v>
      </c>
      <c r="AA9" s="35">
        <v>5419.8</v>
      </c>
      <c r="AB9" s="35">
        <v>5881</v>
      </c>
      <c r="AC9" s="45"/>
      <c r="AD9" s="2" t="s">
        <v>151</v>
      </c>
    </row>
    <row r="10" spans="1:30">
      <c r="A10" s="45" t="s">
        <v>152</v>
      </c>
      <c r="B10" s="45" t="s">
        <v>145</v>
      </c>
      <c r="C10" s="36" t="s">
        <v>146</v>
      </c>
      <c r="D10" s="36" t="s">
        <v>146</v>
      </c>
      <c r="E10" s="36" t="s">
        <v>146</v>
      </c>
      <c r="F10" s="36" t="s">
        <v>146</v>
      </c>
      <c r="G10" s="36">
        <f t="shared" ref="G10:R10" si="5">IF(AND(ISNUMBER(G9),ISNUMBER(C9)),G9/C9-1,"n/a")</f>
        <v>-9.2024539877300082E-3</v>
      </c>
      <c r="H10" s="36">
        <f t="shared" si="5"/>
        <v>-2.0648967551622377E-2</v>
      </c>
      <c r="I10" s="36">
        <f t="shared" si="5"/>
        <v>2.6865671641790989E-2</v>
      </c>
      <c r="J10" s="36">
        <f t="shared" si="5"/>
        <v>7.8125E-2</v>
      </c>
      <c r="K10" s="36">
        <f t="shared" si="5"/>
        <v>7.2239422084623417E-2</v>
      </c>
      <c r="L10" s="36">
        <f t="shared" si="5"/>
        <v>0.10742971887550201</v>
      </c>
      <c r="M10" s="36">
        <f t="shared" si="5"/>
        <v>6.9186046511628074E-2</v>
      </c>
      <c r="N10" s="36">
        <f t="shared" si="5"/>
        <v>5.7880434782608736E-2</v>
      </c>
      <c r="O10" s="36">
        <f t="shared" si="5"/>
        <v>7.3147256977863284E-2</v>
      </c>
      <c r="P10" s="36">
        <f t="shared" si="5"/>
        <v>6.1468721668177739E-2</v>
      </c>
      <c r="Q10" s="36">
        <f t="shared" si="5"/>
        <v>7.1868769258655041E-2</v>
      </c>
      <c r="R10" s="36">
        <f t="shared" si="5"/>
        <v>6.4645945714530306E-2</v>
      </c>
      <c r="S10" s="45"/>
      <c r="T10" s="45"/>
      <c r="U10" s="38" t="s">
        <v>146</v>
      </c>
      <c r="V10" s="38">
        <f t="shared" ref="V10:AB10" si="6">IF(AND(ISNUMBER(V9),ISNUMBER(U9)),V9/U9-1,"n/a")</f>
        <v>-7.4000986679821912E-3</v>
      </c>
      <c r="W10" s="38">
        <f t="shared" si="6"/>
        <v>1.8886679920477212E-2</v>
      </c>
      <c r="X10" s="38">
        <f t="shared" si="6"/>
        <v>7.6609756097561155E-2</v>
      </c>
      <c r="Y10" s="38">
        <f t="shared" si="6"/>
        <v>7.1339570920459394E-2</v>
      </c>
      <c r="Z10" s="38">
        <f t="shared" si="6"/>
        <v>7.331359695495876E-2</v>
      </c>
      <c r="AA10" s="38">
        <f t="shared" si="6"/>
        <v>6.7793604822980136E-2</v>
      </c>
      <c r="AB10" s="38">
        <f t="shared" si="6"/>
        <v>8.509539097383656E-2</v>
      </c>
      <c r="AC10" s="45"/>
      <c r="AD10" s="45"/>
    </row>
    <row r="11" spans="1:30">
      <c r="A11" s="45" t="s">
        <v>153</v>
      </c>
      <c r="B11" s="45" t="s">
        <v>148</v>
      </c>
      <c r="C11" s="36" t="s">
        <v>146</v>
      </c>
      <c r="D11" s="36">
        <f t="shared" ref="D11:R11" si="7">IF(AND(ISNUMBER(D9),ISNUMBER(C9)),D9/C9-1,"n/a")</f>
        <v>3.9877300613496924E-2</v>
      </c>
      <c r="E11" s="36">
        <f t="shared" si="7"/>
        <v>-1.179941002949858E-2</v>
      </c>
      <c r="F11" s="36">
        <f t="shared" si="7"/>
        <v>1.8905472636815857E-2</v>
      </c>
      <c r="G11" s="36">
        <f t="shared" si="7"/>
        <v>-5.37109375E-2</v>
      </c>
      <c r="H11" s="36">
        <f t="shared" si="7"/>
        <v>2.7863777089783381E-2</v>
      </c>
      <c r="I11" s="36">
        <f t="shared" si="7"/>
        <v>3.6144578313253017E-2</v>
      </c>
      <c r="J11" s="36">
        <f t="shared" si="7"/>
        <v>6.9767441860465018E-2</v>
      </c>
      <c r="K11" s="36">
        <f t="shared" si="7"/>
        <v>-5.8876811594202882E-2</v>
      </c>
      <c r="L11" s="36">
        <f t="shared" si="7"/>
        <v>6.1597690086621748E-2</v>
      </c>
      <c r="M11" s="36">
        <f t="shared" si="7"/>
        <v>3.6264732547608425E-4</v>
      </c>
      <c r="N11" s="36">
        <f t="shared" si="7"/>
        <v>5.845568243610666E-2</v>
      </c>
      <c r="O11" s="36">
        <f t="shared" si="7"/>
        <v>-4.5294973884750456E-2</v>
      </c>
      <c r="P11" s="36">
        <f t="shared" si="7"/>
        <v>5.0044843049327215E-2</v>
      </c>
      <c r="Q11" s="36">
        <f t="shared" si="7"/>
        <v>1.016399043389149E-2</v>
      </c>
      <c r="R11" s="36">
        <f t="shared" si="7"/>
        <v>5.1323243426059095E-2</v>
      </c>
      <c r="S11" s="45"/>
      <c r="T11" s="45"/>
      <c r="U11" s="38" t="s">
        <v>146</v>
      </c>
      <c r="V11" s="38" t="s">
        <v>146</v>
      </c>
      <c r="W11" s="38" t="s">
        <v>146</v>
      </c>
      <c r="X11" s="38" t="s">
        <v>146</v>
      </c>
      <c r="Y11" s="38" t="s">
        <v>146</v>
      </c>
      <c r="Z11" s="38" t="s">
        <v>146</v>
      </c>
      <c r="AA11" s="38" t="s">
        <v>146</v>
      </c>
      <c r="AB11" s="38" t="s">
        <v>146</v>
      </c>
      <c r="AC11" s="45"/>
      <c r="AD11" s="45"/>
    </row>
    <row r="12" spans="1:30">
      <c r="A12" s="45" t="s">
        <v>154</v>
      </c>
      <c r="B12" s="45" t="s">
        <v>150</v>
      </c>
      <c r="C12" s="36" t="s">
        <v>146</v>
      </c>
      <c r="D12" s="36" t="s">
        <v>146</v>
      </c>
      <c r="E12" s="36" t="s">
        <v>146</v>
      </c>
      <c r="F12" s="36" t="s">
        <v>146</v>
      </c>
      <c r="G12" s="36" t="str">
        <f t="shared" ref="G12:R12" si="8">IF(AND(ISNUMBER(G10),ISNUMBER(C10)),G10+C10,"n/a")</f>
        <v>n/a</v>
      </c>
      <c r="H12" s="36" t="str">
        <f t="shared" si="8"/>
        <v>n/a</v>
      </c>
      <c r="I12" s="36" t="str">
        <f t="shared" si="8"/>
        <v>n/a</v>
      </c>
      <c r="J12" s="36" t="str">
        <f t="shared" si="8"/>
        <v>n/a</v>
      </c>
      <c r="K12" s="36">
        <f t="shared" si="8"/>
        <v>6.3036968096893409E-2</v>
      </c>
      <c r="L12" s="36">
        <f t="shared" si="8"/>
        <v>8.6780751323879635E-2</v>
      </c>
      <c r="M12" s="36">
        <f t="shared" si="8"/>
        <v>9.6051718153419063E-2</v>
      </c>
      <c r="N12" s="36">
        <f t="shared" si="8"/>
        <v>0.13600543478260874</v>
      </c>
      <c r="O12" s="36">
        <f t="shared" si="8"/>
        <v>0.1453866790624867</v>
      </c>
      <c r="P12" s="36">
        <f t="shared" si="8"/>
        <v>0.16889844054367975</v>
      </c>
      <c r="Q12" s="36">
        <f t="shared" si="8"/>
        <v>0.14105481577028312</v>
      </c>
      <c r="R12" s="36">
        <f t="shared" si="8"/>
        <v>0.12252638049713904</v>
      </c>
      <c r="S12" s="45"/>
      <c r="T12" s="45"/>
      <c r="U12" s="38" t="s">
        <v>146</v>
      </c>
      <c r="V12" s="38" t="s">
        <v>146</v>
      </c>
      <c r="W12" s="38">
        <f t="shared" ref="W12:AB12" si="9">IF(AND(ISNUMBER(W10),ISNUMBER(V10)),W10+V10,"n/a")</f>
        <v>1.1486581252495021E-2</v>
      </c>
      <c r="X12" s="38">
        <f t="shared" si="9"/>
        <v>9.5496436018038366E-2</v>
      </c>
      <c r="Y12" s="38">
        <f t="shared" si="9"/>
        <v>0.14794932701802055</v>
      </c>
      <c r="Z12" s="38">
        <f t="shared" si="9"/>
        <v>0.14465316787541815</v>
      </c>
      <c r="AA12" s="38">
        <f t="shared" si="9"/>
        <v>0.1411072017779389</v>
      </c>
      <c r="AB12" s="38">
        <f t="shared" si="9"/>
        <v>0.1528889957968167</v>
      </c>
      <c r="AC12" s="45"/>
      <c r="AD12" s="45"/>
    </row>
    <row r="14" spans="1:30">
      <c r="A14" s="34" t="s">
        <v>155</v>
      </c>
      <c r="B14" s="45" t="s">
        <v>142</v>
      </c>
      <c r="C14" s="35">
        <v>55</v>
      </c>
      <c r="D14" s="35">
        <v>62</v>
      </c>
      <c r="E14" s="35">
        <v>58</v>
      </c>
      <c r="F14" s="35">
        <v>91</v>
      </c>
      <c r="G14" s="35">
        <v>60</v>
      </c>
      <c r="H14" s="35">
        <v>50</v>
      </c>
      <c r="I14" s="35">
        <v>55</v>
      </c>
      <c r="J14" s="35">
        <v>100</v>
      </c>
      <c r="K14" s="35">
        <v>83</v>
      </c>
      <c r="L14" s="35">
        <v>95</v>
      </c>
      <c r="M14" s="39" t="s">
        <v>146</v>
      </c>
      <c r="N14" s="39" t="s">
        <v>146</v>
      </c>
      <c r="O14" s="39" t="s">
        <v>146</v>
      </c>
      <c r="P14" s="39" t="s">
        <v>146</v>
      </c>
      <c r="Q14" s="39" t="s">
        <v>146</v>
      </c>
      <c r="R14" s="39" t="s">
        <v>146</v>
      </c>
      <c r="S14" s="45"/>
      <c r="T14" s="45"/>
      <c r="U14" s="35">
        <v>352</v>
      </c>
      <c r="V14" s="35">
        <v>266</v>
      </c>
      <c r="W14" s="35">
        <v>265</v>
      </c>
      <c r="X14" s="39" t="s">
        <v>146</v>
      </c>
      <c r="Y14" s="39" t="s">
        <v>146</v>
      </c>
      <c r="Z14" s="39" t="s">
        <v>146</v>
      </c>
      <c r="AA14" s="39" t="s">
        <v>146</v>
      </c>
      <c r="AB14" s="39" t="s">
        <v>146</v>
      </c>
      <c r="AC14" s="45"/>
      <c r="AD14" s="2" t="s">
        <v>156</v>
      </c>
    </row>
    <row r="15" spans="1:30">
      <c r="A15" s="45" t="s">
        <v>157</v>
      </c>
      <c r="B15" s="45" t="s">
        <v>145</v>
      </c>
      <c r="C15" s="36" t="s">
        <v>146</v>
      </c>
      <c r="D15" s="36" t="s">
        <v>146</v>
      </c>
      <c r="E15" s="37">
        <v>-0.40206185567010311</v>
      </c>
      <c r="F15" s="37">
        <v>0.15189873417721511</v>
      </c>
      <c r="G15" s="36">
        <f t="shared" ref="G15:R15" si="10">IF(AND(ISNUMBER(G14),ISNUMBER(C14)),G14/C14-1,"n/a")</f>
        <v>9.0909090909090828E-2</v>
      </c>
      <c r="H15" s="36">
        <f t="shared" si="10"/>
        <v>-0.19354838709677424</v>
      </c>
      <c r="I15" s="36">
        <f t="shared" si="10"/>
        <v>-5.1724137931034475E-2</v>
      </c>
      <c r="J15" s="36">
        <f t="shared" si="10"/>
        <v>9.8901098901098994E-2</v>
      </c>
      <c r="K15" s="36">
        <f t="shared" si="10"/>
        <v>0.3833333333333333</v>
      </c>
      <c r="L15" s="36">
        <f t="shared" si="10"/>
        <v>0.89999999999999991</v>
      </c>
      <c r="M15" s="36" t="str">
        <f t="shared" si="10"/>
        <v>n/a</v>
      </c>
      <c r="N15" s="36" t="str">
        <f t="shared" si="10"/>
        <v>n/a</v>
      </c>
      <c r="O15" s="36" t="str">
        <f t="shared" si="10"/>
        <v>n/a</v>
      </c>
      <c r="P15" s="36" t="str">
        <f t="shared" si="10"/>
        <v>n/a</v>
      </c>
      <c r="Q15" s="36" t="str">
        <f t="shared" si="10"/>
        <v>n/a</v>
      </c>
      <c r="R15" s="36" t="str">
        <f t="shared" si="10"/>
        <v>n/a</v>
      </c>
      <c r="S15" s="45"/>
      <c r="T15" s="45"/>
      <c r="U15" s="38" t="s">
        <v>146</v>
      </c>
      <c r="V15" s="38">
        <f t="shared" ref="V15:AB15" si="11">IF(AND(ISNUMBER(V14),ISNUMBER(U14)),V14/U14-1,"n/a")</f>
        <v>-0.24431818181818177</v>
      </c>
      <c r="W15" s="38">
        <f t="shared" si="11"/>
        <v>-3.7593984962406291E-3</v>
      </c>
      <c r="X15" s="38" t="str">
        <f t="shared" si="11"/>
        <v>n/a</v>
      </c>
      <c r="Y15" s="38" t="str">
        <f t="shared" si="11"/>
        <v>n/a</v>
      </c>
      <c r="Z15" s="38" t="str">
        <f t="shared" si="11"/>
        <v>n/a</v>
      </c>
      <c r="AA15" s="38" t="str">
        <f t="shared" si="11"/>
        <v>n/a</v>
      </c>
      <c r="AB15" s="38" t="str">
        <f t="shared" si="11"/>
        <v>n/a</v>
      </c>
      <c r="AC15" s="45"/>
      <c r="AD15" s="45"/>
    </row>
    <row r="16" spans="1:30">
      <c r="A16" s="45" t="s">
        <v>158</v>
      </c>
      <c r="B16" s="45" t="s">
        <v>148</v>
      </c>
      <c r="C16" s="36" t="s">
        <v>146</v>
      </c>
      <c r="D16" s="36">
        <f t="shared" ref="D16:R16" si="12">IF(AND(ISNUMBER(D14),ISNUMBER(C14)),D14/C14-1,"n/a")</f>
        <v>0.1272727272727272</v>
      </c>
      <c r="E16" s="36">
        <f t="shared" si="12"/>
        <v>-6.4516129032258118E-2</v>
      </c>
      <c r="F16" s="36">
        <f t="shared" si="12"/>
        <v>0.56896551724137923</v>
      </c>
      <c r="G16" s="36">
        <f t="shared" si="12"/>
        <v>-0.34065934065934067</v>
      </c>
      <c r="H16" s="36">
        <f t="shared" si="12"/>
        <v>-0.16666666666666663</v>
      </c>
      <c r="I16" s="36">
        <f t="shared" si="12"/>
        <v>0.10000000000000009</v>
      </c>
      <c r="J16" s="36">
        <f t="shared" si="12"/>
        <v>0.81818181818181812</v>
      </c>
      <c r="K16" s="36">
        <f t="shared" si="12"/>
        <v>-0.17000000000000004</v>
      </c>
      <c r="L16" s="36">
        <f t="shared" si="12"/>
        <v>0.14457831325301207</v>
      </c>
      <c r="M16" s="36" t="str">
        <f t="shared" si="12"/>
        <v>n/a</v>
      </c>
      <c r="N16" s="36" t="str">
        <f t="shared" si="12"/>
        <v>n/a</v>
      </c>
      <c r="O16" s="36" t="str">
        <f t="shared" si="12"/>
        <v>n/a</v>
      </c>
      <c r="P16" s="36" t="str">
        <f t="shared" si="12"/>
        <v>n/a</v>
      </c>
      <c r="Q16" s="36" t="str">
        <f t="shared" si="12"/>
        <v>n/a</v>
      </c>
      <c r="R16" s="36" t="str">
        <f t="shared" si="12"/>
        <v>n/a</v>
      </c>
      <c r="S16" s="45"/>
      <c r="T16" s="45"/>
      <c r="U16" s="38" t="s">
        <v>146</v>
      </c>
      <c r="V16" s="38" t="s">
        <v>146</v>
      </c>
      <c r="W16" s="38" t="s">
        <v>146</v>
      </c>
      <c r="X16" s="38" t="s">
        <v>146</v>
      </c>
      <c r="Y16" s="38" t="s">
        <v>146</v>
      </c>
      <c r="Z16" s="38" t="s">
        <v>146</v>
      </c>
      <c r="AA16" s="38" t="s">
        <v>146</v>
      </c>
      <c r="AB16" s="38" t="s">
        <v>146</v>
      </c>
      <c r="AC16" s="45"/>
      <c r="AD16" s="45"/>
    </row>
    <row r="17" spans="1:30">
      <c r="A17" s="45" t="s">
        <v>159</v>
      </c>
      <c r="B17" s="45" t="s">
        <v>150</v>
      </c>
      <c r="C17" s="36" t="s">
        <v>146</v>
      </c>
      <c r="D17" s="36" t="s">
        <v>146</v>
      </c>
      <c r="E17" s="36" t="s">
        <v>146</v>
      </c>
      <c r="F17" s="36" t="s">
        <v>146</v>
      </c>
      <c r="G17" s="36" t="str">
        <f t="shared" ref="G17:R17" si="13">IF(AND(ISNUMBER(G15),ISNUMBER(C15)),G15+C15,"n/a")</f>
        <v>n/a</v>
      </c>
      <c r="H17" s="36" t="str">
        <f t="shared" si="13"/>
        <v>n/a</v>
      </c>
      <c r="I17" s="36">
        <f t="shared" si="13"/>
        <v>-0.45378599360113758</v>
      </c>
      <c r="J17" s="36">
        <f t="shared" si="13"/>
        <v>0.2507998330783141</v>
      </c>
      <c r="K17" s="36">
        <f t="shared" si="13"/>
        <v>0.47424242424242413</v>
      </c>
      <c r="L17" s="36">
        <f t="shared" si="13"/>
        <v>0.70645161290322567</v>
      </c>
      <c r="M17" s="36" t="str">
        <f t="shared" si="13"/>
        <v>n/a</v>
      </c>
      <c r="N17" s="36" t="str">
        <f t="shared" si="13"/>
        <v>n/a</v>
      </c>
      <c r="O17" s="36" t="str">
        <f t="shared" si="13"/>
        <v>n/a</v>
      </c>
      <c r="P17" s="36" t="str">
        <f t="shared" si="13"/>
        <v>n/a</v>
      </c>
      <c r="Q17" s="36" t="str">
        <f t="shared" si="13"/>
        <v>n/a</v>
      </c>
      <c r="R17" s="36" t="str">
        <f t="shared" si="13"/>
        <v>n/a</v>
      </c>
      <c r="S17" s="45"/>
      <c r="T17" s="45"/>
      <c r="U17" s="38" t="s">
        <v>146</v>
      </c>
      <c r="V17" s="38" t="s">
        <v>146</v>
      </c>
      <c r="W17" s="38">
        <f t="shared" ref="W17:AB17" si="14">IF(AND(ISNUMBER(W15),ISNUMBER(V15)),W15+V15,"n/a")</f>
        <v>-0.2480775803144224</v>
      </c>
      <c r="X17" s="38" t="str">
        <f t="shared" si="14"/>
        <v>n/a</v>
      </c>
      <c r="Y17" s="38" t="str">
        <f t="shared" si="14"/>
        <v>n/a</v>
      </c>
      <c r="Z17" s="38" t="str">
        <f t="shared" si="14"/>
        <v>n/a</v>
      </c>
      <c r="AA17" s="38" t="str">
        <f t="shared" si="14"/>
        <v>n/a</v>
      </c>
      <c r="AB17" s="38" t="str">
        <f t="shared" si="14"/>
        <v>n/a</v>
      </c>
      <c r="AC17" s="45"/>
      <c r="AD17" s="45"/>
    </row>
    <row r="19" spans="1:30">
      <c r="A19" s="34" t="s">
        <v>23</v>
      </c>
      <c r="B19" s="45" t="s">
        <v>142</v>
      </c>
      <c r="C19" s="35">
        <v>114</v>
      </c>
      <c r="D19" s="35">
        <v>120</v>
      </c>
      <c r="E19" s="35">
        <v>107</v>
      </c>
      <c r="F19" s="35">
        <v>159</v>
      </c>
      <c r="G19" s="35">
        <v>112</v>
      </c>
      <c r="H19" s="35">
        <v>101</v>
      </c>
      <c r="I19" s="35">
        <v>111</v>
      </c>
      <c r="J19" s="35">
        <v>158</v>
      </c>
      <c r="K19" s="35">
        <v>120</v>
      </c>
      <c r="L19" s="35">
        <v>130</v>
      </c>
      <c r="M19" s="35">
        <v>115.2</v>
      </c>
      <c r="N19" s="35">
        <v>131.5</v>
      </c>
      <c r="O19" s="35">
        <v>111.1</v>
      </c>
      <c r="P19" s="35">
        <v>114</v>
      </c>
      <c r="Q19" s="35">
        <v>111.6</v>
      </c>
      <c r="R19" s="35">
        <v>126.8</v>
      </c>
      <c r="S19" s="45"/>
      <c r="T19" s="45"/>
      <c r="U19" s="35">
        <v>704</v>
      </c>
      <c r="V19" s="35">
        <v>501</v>
      </c>
      <c r="W19" s="35">
        <v>482</v>
      </c>
      <c r="X19" s="35">
        <v>500.4</v>
      </c>
      <c r="Y19" s="35">
        <v>469.7</v>
      </c>
      <c r="Z19" s="35">
        <v>468.5</v>
      </c>
      <c r="AA19" s="35">
        <v>464.6</v>
      </c>
      <c r="AB19" s="35">
        <v>482.5</v>
      </c>
      <c r="AC19" s="45"/>
      <c r="AD19" s="2" t="s">
        <v>160</v>
      </c>
    </row>
    <row r="20" spans="1:30">
      <c r="A20" s="45" t="s">
        <v>161</v>
      </c>
      <c r="B20" s="45" t="s">
        <v>145</v>
      </c>
      <c r="C20" s="36" t="s">
        <v>146</v>
      </c>
      <c r="D20" s="36" t="s">
        <v>146</v>
      </c>
      <c r="E20" s="37">
        <v>-0.41208791208791212</v>
      </c>
      <c r="F20" s="37">
        <v>-4.7904191616766512E-2</v>
      </c>
      <c r="G20" s="36">
        <f t="shared" ref="G20:R20" si="15">IF(AND(ISNUMBER(G19),ISNUMBER(C19)),G19/C19-1,"n/a")</f>
        <v>-1.7543859649122862E-2</v>
      </c>
      <c r="H20" s="36">
        <f t="shared" si="15"/>
        <v>-0.15833333333333333</v>
      </c>
      <c r="I20" s="36">
        <f t="shared" si="15"/>
        <v>3.7383177570093462E-2</v>
      </c>
      <c r="J20" s="36">
        <f t="shared" si="15"/>
        <v>-6.2893081761006275E-3</v>
      </c>
      <c r="K20" s="36">
        <f t="shared" si="15"/>
        <v>7.1428571428571397E-2</v>
      </c>
      <c r="L20" s="36">
        <f t="shared" si="15"/>
        <v>0.28712871287128716</v>
      </c>
      <c r="M20" s="36">
        <f t="shared" si="15"/>
        <v>3.7837837837837895E-2</v>
      </c>
      <c r="N20" s="36">
        <f t="shared" si="15"/>
        <v>-0.16772151898734178</v>
      </c>
      <c r="O20" s="36">
        <f t="shared" si="15"/>
        <v>-7.4166666666666714E-2</v>
      </c>
      <c r="P20" s="36">
        <f t="shared" si="15"/>
        <v>-0.12307692307692308</v>
      </c>
      <c r="Q20" s="36">
        <f t="shared" si="15"/>
        <v>-3.1250000000000111E-2</v>
      </c>
      <c r="R20" s="36">
        <f t="shared" si="15"/>
        <v>-3.5741444866920213E-2</v>
      </c>
      <c r="S20" s="45"/>
      <c r="T20" s="45"/>
      <c r="U20" s="38" t="s">
        <v>146</v>
      </c>
      <c r="V20" s="38">
        <f t="shared" ref="V20:AB20" si="16">IF(AND(ISNUMBER(V19),ISNUMBER(U19)),V19/U19-1,"n/a")</f>
        <v>-0.28835227272727271</v>
      </c>
      <c r="W20" s="38">
        <f t="shared" si="16"/>
        <v>-3.7924151696606789E-2</v>
      </c>
      <c r="X20" s="38">
        <f t="shared" si="16"/>
        <v>3.8174273858921026E-2</v>
      </c>
      <c r="Y20" s="38">
        <f t="shared" si="16"/>
        <v>-6.1350919264588355E-2</v>
      </c>
      <c r="Z20" s="38">
        <f t="shared" si="16"/>
        <v>-2.5548222269533571E-3</v>
      </c>
      <c r="AA20" s="38">
        <f t="shared" si="16"/>
        <v>-8.3244397011739135E-3</v>
      </c>
      <c r="AB20" s="38">
        <f t="shared" si="16"/>
        <v>3.8527765820060234E-2</v>
      </c>
      <c r="AC20" s="45"/>
      <c r="AD20" s="45"/>
    </row>
    <row r="21" spans="1:30">
      <c r="A21" s="45" t="s">
        <v>162</v>
      </c>
      <c r="B21" s="45" t="s">
        <v>148</v>
      </c>
      <c r="C21" s="36" t="s">
        <v>146</v>
      </c>
      <c r="D21" s="36">
        <f t="shared" ref="D21:R21" si="17">IF(AND(ISNUMBER(D19),ISNUMBER(C19)),D19/C19-1,"n/a")</f>
        <v>5.2631578947368363E-2</v>
      </c>
      <c r="E21" s="36">
        <f t="shared" si="17"/>
        <v>-0.10833333333333328</v>
      </c>
      <c r="F21" s="36">
        <f t="shared" si="17"/>
        <v>0.48598130841121501</v>
      </c>
      <c r="G21" s="36">
        <f t="shared" si="17"/>
        <v>-0.29559748427672961</v>
      </c>
      <c r="H21" s="36">
        <f t="shared" si="17"/>
        <v>-9.8214285714285698E-2</v>
      </c>
      <c r="I21" s="36">
        <f t="shared" si="17"/>
        <v>9.9009900990099098E-2</v>
      </c>
      <c r="J21" s="36">
        <f t="shared" si="17"/>
        <v>0.42342342342342332</v>
      </c>
      <c r="K21" s="36">
        <f t="shared" si="17"/>
        <v>-0.240506329113924</v>
      </c>
      <c r="L21" s="36">
        <f t="shared" si="17"/>
        <v>8.3333333333333259E-2</v>
      </c>
      <c r="M21" s="36">
        <f t="shared" si="17"/>
        <v>-0.11384615384615382</v>
      </c>
      <c r="N21" s="36">
        <f t="shared" si="17"/>
        <v>0.14149305555555558</v>
      </c>
      <c r="O21" s="36">
        <f t="shared" si="17"/>
        <v>-0.15513307984790881</v>
      </c>
      <c r="P21" s="36">
        <f t="shared" si="17"/>
        <v>2.6102610261026227E-2</v>
      </c>
      <c r="Q21" s="36">
        <f t="shared" si="17"/>
        <v>-2.1052631578947434E-2</v>
      </c>
      <c r="R21" s="36">
        <f t="shared" si="17"/>
        <v>0.13620071684587809</v>
      </c>
      <c r="S21" s="45"/>
      <c r="T21" s="45"/>
      <c r="U21" s="38" t="s">
        <v>146</v>
      </c>
      <c r="V21" s="38" t="s">
        <v>146</v>
      </c>
      <c r="W21" s="38" t="s">
        <v>146</v>
      </c>
      <c r="X21" s="38" t="s">
        <v>146</v>
      </c>
      <c r="Y21" s="38" t="s">
        <v>146</v>
      </c>
      <c r="Z21" s="38" t="s">
        <v>146</v>
      </c>
      <c r="AA21" s="38" t="s">
        <v>146</v>
      </c>
      <c r="AB21" s="38" t="s">
        <v>146</v>
      </c>
      <c r="AC21" s="45"/>
      <c r="AD21" s="45"/>
    </row>
    <row r="22" spans="1:30">
      <c r="A22" s="45" t="s">
        <v>163</v>
      </c>
      <c r="B22" s="45" t="s">
        <v>150</v>
      </c>
      <c r="C22" s="36" t="s">
        <v>146</v>
      </c>
      <c r="D22" s="36" t="s">
        <v>146</v>
      </c>
      <c r="E22" s="36" t="s">
        <v>146</v>
      </c>
      <c r="F22" s="36" t="s">
        <v>146</v>
      </c>
      <c r="G22" s="36" t="str">
        <f t="shared" ref="G22:R22" si="18">IF(AND(ISNUMBER(G20),ISNUMBER(C20)),G20+C20,"n/a")</f>
        <v>n/a</v>
      </c>
      <c r="H22" s="36" t="str">
        <f t="shared" si="18"/>
        <v>n/a</v>
      </c>
      <c r="I22" s="36">
        <f t="shared" si="18"/>
        <v>-0.37470473451781866</v>
      </c>
      <c r="J22" s="36">
        <f t="shared" si="18"/>
        <v>-5.4193499792867139E-2</v>
      </c>
      <c r="K22" s="36">
        <f t="shared" si="18"/>
        <v>5.3884711779448535E-2</v>
      </c>
      <c r="L22" s="36">
        <f t="shared" si="18"/>
        <v>0.12879537953795384</v>
      </c>
      <c r="M22" s="36">
        <f t="shared" si="18"/>
        <v>7.5221015407931358E-2</v>
      </c>
      <c r="N22" s="36">
        <f t="shared" si="18"/>
        <v>-0.17401082716344241</v>
      </c>
      <c r="O22" s="36">
        <f t="shared" si="18"/>
        <v>-2.7380952380953172E-3</v>
      </c>
      <c r="P22" s="36">
        <f t="shared" si="18"/>
        <v>0.16405178979436408</v>
      </c>
      <c r="Q22" s="36">
        <f t="shared" si="18"/>
        <v>6.5878378378377844E-3</v>
      </c>
      <c r="R22" s="36">
        <f t="shared" si="18"/>
        <v>-0.20346296385426199</v>
      </c>
      <c r="S22" s="45"/>
      <c r="T22" s="45"/>
      <c r="U22" s="38" t="s">
        <v>146</v>
      </c>
      <c r="V22" s="38" t="s">
        <v>146</v>
      </c>
      <c r="W22" s="38">
        <f t="shared" ref="W22:AB22" si="19">IF(AND(ISNUMBER(W20),ISNUMBER(V20)),W20+V20,"n/a")</f>
        <v>-0.3262764244238795</v>
      </c>
      <c r="X22" s="38">
        <f t="shared" si="19"/>
        <v>2.501221623142369E-4</v>
      </c>
      <c r="Y22" s="38">
        <f t="shared" si="19"/>
        <v>-2.3176645405667329E-2</v>
      </c>
      <c r="Z22" s="38">
        <f t="shared" si="19"/>
        <v>-6.3905741491541712E-2</v>
      </c>
      <c r="AA22" s="38">
        <f t="shared" si="19"/>
        <v>-1.0879261928127271E-2</v>
      </c>
      <c r="AB22" s="38">
        <f t="shared" si="19"/>
        <v>3.020332611888632E-2</v>
      </c>
      <c r="AC22" s="45"/>
      <c r="AD22" s="45"/>
    </row>
    <row r="24" spans="1:30">
      <c r="A24" s="34" t="s">
        <v>24</v>
      </c>
      <c r="B24" s="45" t="s">
        <v>142</v>
      </c>
      <c r="C24" s="35">
        <v>100</v>
      </c>
      <c r="D24" s="35">
        <v>111</v>
      </c>
      <c r="E24" s="35">
        <v>98</v>
      </c>
      <c r="F24" s="35">
        <v>144</v>
      </c>
      <c r="G24" s="35">
        <v>103</v>
      </c>
      <c r="H24" s="35">
        <v>92</v>
      </c>
      <c r="I24" s="35">
        <v>104</v>
      </c>
      <c r="J24" s="35">
        <v>150</v>
      </c>
      <c r="K24" s="35">
        <v>114</v>
      </c>
      <c r="L24" s="35">
        <v>122</v>
      </c>
      <c r="M24" s="39" t="s">
        <v>146</v>
      </c>
      <c r="N24" s="39" t="s">
        <v>146</v>
      </c>
      <c r="O24" s="39" t="s">
        <v>146</v>
      </c>
      <c r="P24" s="39" t="s">
        <v>146</v>
      </c>
      <c r="Q24" s="39" t="s">
        <v>146</v>
      </c>
      <c r="R24" s="39" t="s">
        <v>146</v>
      </c>
      <c r="S24" s="45"/>
      <c r="T24" s="45"/>
      <c r="U24" s="39" t="s">
        <v>146</v>
      </c>
      <c r="V24" s="35">
        <v>453</v>
      </c>
      <c r="W24" s="35">
        <v>449</v>
      </c>
      <c r="X24" s="39" t="s">
        <v>146</v>
      </c>
      <c r="Y24" s="39" t="s">
        <v>146</v>
      </c>
      <c r="Z24" s="39" t="s">
        <v>146</v>
      </c>
      <c r="AA24" s="39" t="s">
        <v>146</v>
      </c>
      <c r="AB24" s="39" t="s">
        <v>146</v>
      </c>
      <c r="AC24" s="45"/>
      <c r="AD24" s="2" t="s">
        <v>164</v>
      </c>
    </row>
    <row r="25" spans="1:30">
      <c r="A25" s="45" t="s">
        <v>165</v>
      </c>
      <c r="B25" s="45" t="s">
        <v>145</v>
      </c>
      <c r="C25" s="36" t="s">
        <v>146</v>
      </c>
      <c r="D25" s="36" t="s">
        <v>146</v>
      </c>
      <c r="E25" s="36" t="s">
        <v>146</v>
      </c>
      <c r="F25" s="36" t="s">
        <v>146</v>
      </c>
      <c r="G25" s="36">
        <f t="shared" ref="G25:R25" si="20">IF(AND(ISNUMBER(G24),ISNUMBER(C24)),G24/C24-1,"n/a")</f>
        <v>3.0000000000000027E-2</v>
      </c>
      <c r="H25" s="36">
        <f t="shared" si="20"/>
        <v>-0.1711711711711712</v>
      </c>
      <c r="I25" s="36">
        <f t="shared" si="20"/>
        <v>6.1224489795918435E-2</v>
      </c>
      <c r="J25" s="36">
        <f t="shared" si="20"/>
        <v>4.1666666666666741E-2</v>
      </c>
      <c r="K25" s="36">
        <f t="shared" si="20"/>
        <v>0.10679611650485432</v>
      </c>
      <c r="L25" s="36">
        <f t="shared" si="20"/>
        <v>0.32608695652173902</v>
      </c>
      <c r="M25" s="36" t="str">
        <f t="shared" si="20"/>
        <v>n/a</v>
      </c>
      <c r="N25" s="36" t="str">
        <f t="shared" si="20"/>
        <v>n/a</v>
      </c>
      <c r="O25" s="36" t="str">
        <f t="shared" si="20"/>
        <v>n/a</v>
      </c>
      <c r="P25" s="36" t="str">
        <f t="shared" si="20"/>
        <v>n/a</v>
      </c>
      <c r="Q25" s="36" t="str">
        <f t="shared" si="20"/>
        <v>n/a</v>
      </c>
      <c r="R25" s="36" t="str">
        <f t="shared" si="20"/>
        <v>n/a</v>
      </c>
      <c r="S25" s="45"/>
      <c r="T25" s="45"/>
      <c r="U25" s="38" t="s">
        <v>146</v>
      </c>
      <c r="V25" s="38" t="str">
        <f t="shared" ref="V25:AB25" si="21">IF(AND(ISNUMBER(V24),ISNUMBER(U24)),V24/U24-1,"n/a")</f>
        <v>n/a</v>
      </c>
      <c r="W25" s="38">
        <f t="shared" si="21"/>
        <v>-8.8300220750552327E-3</v>
      </c>
      <c r="X25" s="38" t="str">
        <f t="shared" si="21"/>
        <v>n/a</v>
      </c>
      <c r="Y25" s="38" t="str">
        <f t="shared" si="21"/>
        <v>n/a</v>
      </c>
      <c r="Z25" s="38" t="str">
        <f t="shared" si="21"/>
        <v>n/a</v>
      </c>
      <c r="AA25" s="38" t="str">
        <f t="shared" si="21"/>
        <v>n/a</v>
      </c>
      <c r="AB25" s="38" t="str">
        <f t="shared" si="21"/>
        <v>n/a</v>
      </c>
      <c r="AC25" s="45"/>
      <c r="AD25" s="45"/>
    </row>
    <row r="26" spans="1:30">
      <c r="A26" s="45" t="s">
        <v>166</v>
      </c>
      <c r="B26" s="45" t="s">
        <v>148</v>
      </c>
      <c r="C26" s="36" t="s">
        <v>146</v>
      </c>
      <c r="D26" s="36">
        <f t="shared" ref="D26:R26" si="22">IF(AND(ISNUMBER(D24),ISNUMBER(C24)),D24/C24-1,"n/a")</f>
        <v>0.1100000000000001</v>
      </c>
      <c r="E26" s="36">
        <f t="shared" si="22"/>
        <v>-0.11711711711711714</v>
      </c>
      <c r="F26" s="36">
        <f t="shared" si="22"/>
        <v>0.46938775510204089</v>
      </c>
      <c r="G26" s="36">
        <f t="shared" si="22"/>
        <v>-0.28472222222222221</v>
      </c>
      <c r="H26" s="36">
        <f t="shared" si="22"/>
        <v>-0.10679611650485432</v>
      </c>
      <c r="I26" s="36">
        <f t="shared" si="22"/>
        <v>0.13043478260869557</v>
      </c>
      <c r="J26" s="36">
        <f t="shared" si="22"/>
        <v>0.44230769230769229</v>
      </c>
      <c r="K26" s="36">
        <f t="shared" si="22"/>
        <v>-0.24</v>
      </c>
      <c r="L26" s="36">
        <f t="shared" si="22"/>
        <v>7.0175438596491224E-2</v>
      </c>
      <c r="M26" s="36" t="str">
        <f t="shared" si="22"/>
        <v>n/a</v>
      </c>
      <c r="N26" s="36" t="str">
        <f t="shared" si="22"/>
        <v>n/a</v>
      </c>
      <c r="O26" s="36" t="str">
        <f t="shared" si="22"/>
        <v>n/a</v>
      </c>
      <c r="P26" s="36" t="str">
        <f t="shared" si="22"/>
        <v>n/a</v>
      </c>
      <c r="Q26" s="36" t="str">
        <f t="shared" si="22"/>
        <v>n/a</v>
      </c>
      <c r="R26" s="36" t="str">
        <f t="shared" si="22"/>
        <v>n/a</v>
      </c>
      <c r="S26" s="45"/>
      <c r="T26" s="45"/>
      <c r="U26" s="38" t="s">
        <v>146</v>
      </c>
      <c r="V26" s="38" t="s">
        <v>146</v>
      </c>
      <c r="W26" s="38" t="s">
        <v>146</v>
      </c>
      <c r="X26" s="38" t="s">
        <v>146</v>
      </c>
      <c r="Y26" s="38" t="s">
        <v>146</v>
      </c>
      <c r="Z26" s="38" t="s">
        <v>146</v>
      </c>
      <c r="AA26" s="38" t="s">
        <v>146</v>
      </c>
      <c r="AB26" s="38" t="s">
        <v>146</v>
      </c>
      <c r="AC26" s="45"/>
      <c r="AD26" s="45"/>
    </row>
    <row r="27" spans="1:30">
      <c r="A27" s="45" t="s">
        <v>167</v>
      </c>
      <c r="B27" s="45" t="s">
        <v>150</v>
      </c>
      <c r="C27" s="36" t="s">
        <v>146</v>
      </c>
      <c r="D27" s="36" t="s">
        <v>146</v>
      </c>
      <c r="E27" s="36" t="s">
        <v>146</v>
      </c>
      <c r="F27" s="36" t="s">
        <v>146</v>
      </c>
      <c r="G27" s="36" t="str">
        <f t="shared" ref="G27:R27" si="23">IF(AND(ISNUMBER(G25),ISNUMBER(C25)),G25+C25,"n/a")</f>
        <v>n/a</v>
      </c>
      <c r="H27" s="36" t="str">
        <f t="shared" si="23"/>
        <v>n/a</v>
      </c>
      <c r="I27" s="36" t="str">
        <f t="shared" si="23"/>
        <v>n/a</v>
      </c>
      <c r="J27" s="36" t="str">
        <f t="shared" si="23"/>
        <v>n/a</v>
      </c>
      <c r="K27" s="36">
        <f t="shared" si="23"/>
        <v>0.13679611650485435</v>
      </c>
      <c r="L27" s="36">
        <f t="shared" si="23"/>
        <v>0.15491578535056783</v>
      </c>
      <c r="M27" s="36" t="str">
        <f t="shared" si="23"/>
        <v>n/a</v>
      </c>
      <c r="N27" s="36" t="str">
        <f t="shared" si="23"/>
        <v>n/a</v>
      </c>
      <c r="O27" s="36" t="str">
        <f t="shared" si="23"/>
        <v>n/a</v>
      </c>
      <c r="P27" s="36" t="str">
        <f t="shared" si="23"/>
        <v>n/a</v>
      </c>
      <c r="Q27" s="36" t="str">
        <f t="shared" si="23"/>
        <v>n/a</v>
      </c>
      <c r="R27" s="36" t="str">
        <f t="shared" si="23"/>
        <v>n/a</v>
      </c>
      <c r="S27" s="45"/>
      <c r="T27" s="45"/>
      <c r="U27" s="38" t="s">
        <v>146</v>
      </c>
      <c r="V27" s="38" t="s">
        <v>146</v>
      </c>
      <c r="W27" s="38" t="str">
        <f t="shared" ref="W27:AB27" si="24">IF(AND(ISNUMBER(W25),ISNUMBER(V25)),W25+V25,"n/a")</f>
        <v>n/a</v>
      </c>
      <c r="X27" s="38" t="str">
        <f t="shared" si="24"/>
        <v>n/a</v>
      </c>
      <c r="Y27" s="38" t="str">
        <f t="shared" si="24"/>
        <v>n/a</v>
      </c>
      <c r="Z27" s="38" t="str">
        <f t="shared" si="24"/>
        <v>n/a</v>
      </c>
      <c r="AA27" s="38" t="str">
        <f t="shared" si="24"/>
        <v>n/a</v>
      </c>
      <c r="AB27" s="38" t="str">
        <f t="shared" si="24"/>
        <v>n/a</v>
      </c>
      <c r="AC27" s="45"/>
      <c r="AD27" s="45"/>
    </row>
    <row r="29" spans="1:30">
      <c r="A29" s="34" t="s">
        <v>26</v>
      </c>
      <c r="B29" s="45" t="s">
        <v>142</v>
      </c>
      <c r="C29" s="35">
        <v>768</v>
      </c>
      <c r="D29" s="35">
        <v>815</v>
      </c>
      <c r="E29" s="35">
        <v>807</v>
      </c>
      <c r="F29" s="35">
        <v>779</v>
      </c>
      <c r="G29" s="35">
        <v>768</v>
      </c>
      <c r="H29" s="35">
        <v>811</v>
      </c>
      <c r="I29" s="35">
        <v>816</v>
      </c>
      <c r="J29" s="35">
        <v>832</v>
      </c>
      <c r="K29" s="35">
        <v>797</v>
      </c>
      <c r="L29" s="35">
        <v>852</v>
      </c>
      <c r="M29" s="35">
        <v>861</v>
      </c>
      <c r="N29" s="35">
        <v>894.2</v>
      </c>
      <c r="O29" s="35">
        <v>862.8</v>
      </c>
      <c r="P29" s="35">
        <v>914.1</v>
      </c>
      <c r="Q29" s="35">
        <v>931.5</v>
      </c>
      <c r="R29" s="35">
        <v>966.6</v>
      </c>
      <c r="S29" s="45"/>
      <c r="T29" s="45"/>
      <c r="U29" s="35">
        <v>3083</v>
      </c>
      <c r="V29" s="35">
        <v>3169</v>
      </c>
      <c r="W29" s="35">
        <v>3227</v>
      </c>
      <c r="X29" s="35">
        <v>3402.1</v>
      </c>
      <c r="Y29" s="35">
        <v>3668.6</v>
      </c>
      <c r="Z29" s="35">
        <v>3963.8</v>
      </c>
      <c r="AA29" s="35">
        <v>4341.2</v>
      </c>
      <c r="AB29" s="35">
        <v>4791.6000000000004</v>
      </c>
      <c r="AC29" s="45"/>
      <c r="AD29" s="2" t="s">
        <v>168</v>
      </c>
    </row>
    <row r="30" spans="1:30">
      <c r="A30" s="45" t="s">
        <v>169</v>
      </c>
      <c r="B30" s="45" t="s">
        <v>145</v>
      </c>
      <c r="C30" s="36" t="s">
        <v>146</v>
      </c>
      <c r="D30" s="36" t="s">
        <v>146</v>
      </c>
      <c r="E30" s="37">
        <v>5.3524804177545793E-2</v>
      </c>
      <c r="F30" s="37">
        <v>3.042328042328046E-2</v>
      </c>
      <c r="G30" s="36">
        <f t="shared" ref="G30:R30" si="25">IF(AND(ISNUMBER(G29),ISNUMBER(C29)),G29/C29-1,"n/a")</f>
        <v>0</v>
      </c>
      <c r="H30" s="36">
        <f t="shared" si="25"/>
        <v>-4.9079754601226711E-3</v>
      </c>
      <c r="I30" s="36">
        <f t="shared" si="25"/>
        <v>1.1152416356877248E-2</v>
      </c>
      <c r="J30" s="36">
        <f t="shared" si="25"/>
        <v>6.8035943517329889E-2</v>
      </c>
      <c r="K30" s="36">
        <f t="shared" si="25"/>
        <v>3.7760416666666741E-2</v>
      </c>
      <c r="L30" s="36">
        <f t="shared" si="25"/>
        <v>5.0554870530209683E-2</v>
      </c>
      <c r="M30" s="36">
        <f t="shared" si="25"/>
        <v>5.5147058823529438E-2</v>
      </c>
      <c r="N30" s="36">
        <f t="shared" si="25"/>
        <v>7.4759615384615508E-2</v>
      </c>
      <c r="O30" s="36">
        <f t="shared" si="25"/>
        <v>8.2559598494353681E-2</v>
      </c>
      <c r="P30" s="36">
        <f t="shared" si="25"/>
        <v>7.2887323943662041E-2</v>
      </c>
      <c r="Q30" s="36">
        <f t="shared" si="25"/>
        <v>8.1881533101045401E-2</v>
      </c>
      <c r="R30" s="36">
        <f t="shared" si="25"/>
        <v>8.0966226794900509E-2</v>
      </c>
      <c r="S30" s="45"/>
      <c r="T30" s="45"/>
      <c r="U30" s="38" t="s">
        <v>146</v>
      </c>
      <c r="V30" s="38">
        <f t="shared" ref="V30:AB30" si="26">IF(AND(ISNUMBER(V29),ISNUMBER(U29)),V29/U29-1,"n/a")</f>
        <v>2.7894907557573845E-2</v>
      </c>
      <c r="W30" s="38">
        <f t="shared" si="26"/>
        <v>1.8302303565793654E-2</v>
      </c>
      <c r="X30" s="38">
        <f t="shared" si="26"/>
        <v>5.4260923458320454E-2</v>
      </c>
      <c r="Y30" s="38">
        <f t="shared" si="26"/>
        <v>7.8333970194879532E-2</v>
      </c>
      <c r="Z30" s="38">
        <f t="shared" si="26"/>
        <v>8.0466663032219499E-2</v>
      </c>
      <c r="AA30" s="38">
        <f t="shared" si="26"/>
        <v>9.521166557343963E-2</v>
      </c>
      <c r="AB30" s="38">
        <f t="shared" si="26"/>
        <v>0.10375011517552757</v>
      </c>
      <c r="AC30" s="45"/>
      <c r="AD30" s="45"/>
    </row>
    <row r="31" spans="1:30">
      <c r="A31" s="45" t="s">
        <v>170</v>
      </c>
      <c r="B31" s="45" t="s">
        <v>148</v>
      </c>
      <c r="C31" s="36" t="s">
        <v>146</v>
      </c>
      <c r="D31" s="36">
        <f t="shared" ref="D31:R31" si="27">IF(AND(ISNUMBER(D29),ISNUMBER(C29)),D29/C29-1,"n/a")</f>
        <v>6.1197916666666741E-2</v>
      </c>
      <c r="E31" s="36">
        <f t="shared" si="27"/>
        <v>-9.8159509202454531E-3</v>
      </c>
      <c r="F31" s="36">
        <f t="shared" si="27"/>
        <v>-3.4696406443618377E-2</v>
      </c>
      <c r="G31" s="36">
        <f t="shared" si="27"/>
        <v>-1.4120667522464658E-2</v>
      </c>
      <c r="H31" s="36">
        <f t="shared" si="27"/>
        <v>5.5989583333333259E-2</v>
      </c>
      <c r="I31" s="36">
        <f t="shared" si="27"/>
        <v>6.1652281134401132E-3</v>
      </c>
      <c r="J31" s="36">
        <f t="shared" si="27"/>
        <v>1.9607843137254832E-2</v>
      </c>
      <c r="K31" s="36">
        <f t="shared" si="27"/>
        <v>-4.2067307692307709E-2</v>
      </c>
      <c r="L31" s="36">
        <f t="shared" si="27"/>
        <v>6.9008782936009982E-2</v>
      </c>
      <c r="M31" s="36">
        <f t="shared" si="27"/>
        <v>1.0563380281690238E-2</v>
      </c>
      <c r="N31" s="36">
        <f t="shared" si="27"/>
        <v>3.8559814169570217E-2</v>
      </c>
      <c r="O31" s="36">
        <f t="shared" si="27"/>
        <v>-3.5115186759114403E-2</v>
      </c>
      <c r="P31" s="36">
        <f t="shared" si="27"/>
        <v>5.9457579972183705E-2</v>
      </c>
      <c r="Q31" s="36">
        <f t="shared" si="27"/>
        <v>1.9035116508040684E-2</v>
      </c>
      <c r="R31" s="36">
        <f t="shared" si="27"/>
        <v>3.7681159420289934E-2</v>
      </c>
      <c r="S31" s="45"/>
      <c r="T31" s="45"/>
      <c r="U31" s="38" t="s">
        <v>146</v>
      </c>
      <c r="V31" s="38" t="s">
        <v>146</v>
      </c>
      <c r="W31" s="38" t="s">
        <v>146</v>
      </c>
      <c r="X31" s="38" t="s">
        <v>146</v>
      </c>
      <c r="Y31" s="38" t="s">
        <v>146</v>
      </c>
      <c r="Z31" s="38" t="s">
        <v>146</v>
      </c>
      <c r="AA31" s="38" t="s">
        <v>146</v>
      </c>
      <c r="AB31" s="38" t="s">
        <v>146</v>
      </c>
      <c r="AC31" s="45"/>
      <c r="AD31" s="45"/>
    </row>
    <row r="32" spans="1:30">
      <c r="A32" s="45" t="s">
        <v>171</v>
      </c>
      <c r="B32" s="45" t="s">
        <v>150</v>
      </c>
      <c r="C32" s="36" t="s">
        <v>146</v>
      </c>
      <c r="D32" s="36" t="s">
        <v>146</v>
      </c>
      <c r="E32" s="36" t="s">
        <v>146</v>
      </c>
      <c r="F32" s="36" t="s">
        <v>146</v>
      </c>
      <c r="G32" s="36" t="str">
        <f t="shared" ref="G32:R32" si="28">IF(AND(ISNUMBER(G30),ISNUMBER(C30)),G30+C30,"n/a")</f>
        <v>n/a</v>
      </c>
      <c r="H32" s="36" t="str">
        <f t="shared" si="28"/>
        <v>n/a</v>
      </c>
      <c r="I32" s="36">
        <f t="shared" si="28"/>
        <v>6.4677220534423041E-2</v>
      </c>
      <c r="J32" s="36">
        <f t="shared" si="28"/>
        <v>9.8459223940610352E-2</v>
      </c>
      <c r="K32" s="36">
        <f t="shared" si="28"/>
        <v>3.7760416666666741E-2</v>
      </c>
      <c r="L32" s="36">
        <f t="shared" si="28"/>
        <v>4.5646895070087012E-2</v>
      </c>
      <c r="M32" s="36">
        <f t="shared" si="28"/>
        <v>6.6299475180406686E-2</v>
      </c>
      <c r="N32" s="36">
        <f t="shared" si="28"/>
        <v>0.1427955589019454</v>
      </c>
      <c r="O32" s="36">
        <f t="shared" si="28"/>
        <v>0.12032001516102042</v>
      </c>
      <c r="P32" s="36">
        <f t="shared" si="28"/>
        <v>0.12344219447387172</v>
      </c>
      <c r="Q32" s="36">
        <f t="shared" si="28"/>
        <v>0.13702859192457484</v>
      </c>
      <c r="R32" s="36">
        <f t="shared" si="28"/>
        <v>0.15572584217951602</v>
      </c>
      <c r="S32" s="45"/>
      <c r="T32" s="45"/>
      <c r="U32" s="38" t="s">
        <v>146</v>
      </c>
      <c r="V32" s="38" t="s">
        <v>146</v>
      </c>
      <c r="W32" s="38">
        <f t="shared" ref="W32:AB32" si="29">IF(AND(ISNUMBER(W30),ISNUMBER(V30)),W30+V30,"n/a")</f>
        <v>4.6197211123367499E-2</v>
      </c>
      <c r="X32" s="38">
        <f t="shared" si="29"/>
        <v>7.2563227024114108E-2</v>
      </c>
      <c r="Y32" s="38">
        <f t="shared" si="29"/>
        <v>0.13259489365319999</v>
      </c>
      <c r="Z32" s="38">
        <f t="shared" si="29"/>
        <v>0.15880063322709903</v>
      </c>
      <c r="AA32" s="38">
        <f t="shared" si="29"/>
        <v>0.17567832860565913</v>
      </c>
      <c r="AB32" s="38">
        <f t="shared" si="29"/>
        <v>0.1989617807489672</v>
      </c>
      <c r="AC32" s="45"/>
      <c r="AD32" s="45"/>
    </row>
    <row r="34" spans="1:30">
      <c r="A34" s="34" t="s">
        <v>27</v>
      </c>
      <c r="B34" s="45" t="s">
        <v>142</v>
      </c>
      <c r="C34" s="35">
        <v>697</v>
      </c>
      <c r="D34" s="35">
        <v>737</v>
      </c>
      <c r="E34" s="35">
        <v>741</v>
      </c>
      <c r="F34" s="35">
        <v>698</v>
      </c>
      <c r="G34" s="35">
        <v>696</v>
      </c>
      <c r="H34" s="35">
        <v>740</v>
      </c>
      <c r="I34" s="35">
        <v>747</v>
      </c>
      <c r="J34" s="35">
        <v>755</v>
      </c>
      <c r="K34" s="35">
        <v>726</v>
      </c>
      <c r="L34" s="35">
        <v>775</v>
      </c>
      <c r="M34" s="35">
        <v>789.2</v>
      </c>
      <c r="N34" s="35">
        <v>814.9</v>
      </c>
      <c r="O34" s="35">
        <v>792.1</v>
      </c>
      <c r="P34" s="35">
        <v>838.9</v>
      </c>
      <c r="Q34" s="35">
        <v>859.8</v>
      </c>
      <c r="R34" s="35">
        <v>888.1</v>
      </c>
      <c r="S34" s="45"/>
      <c r="T34" s="45"/>
      <c r="U34" s="35">
        <v>2790</v>
      </c>
      <c r="V34" s="35">
        <v>2872</v>
      </c>
      <c r="W34" s="35">
        <v>2939</v>
      </c>
      <c r="X34" s="35">
        <v>3104.4</v>
      </c>
      <c r="Y34" s="35">
        <v>3378.4</v>
      </c>
      <c r="Z34" s="35">
        <v>3694.2</v>
      </c>
      <c r="AA34" s="35">
        <v>4034</v>
      </c>
      <c r="AB34" s="35">
        <v>4478.8</v>
      </c>
      <c r="AC34" s="45"/>
      <c r="AD34" s="2" t="s">
        <v>172</v>
      </c>
    </row>
    <row r="35" spans="1:30">
      <c r="A35" s="45" t="s">
        <v>173</v>
      </c>
      <c r="B35" s="45" t="s">
        <v>145</v>
      </c>
      <c r="C35" s="36" t="s">
        <v>146</v>
      </c>
      <c r="D35" s="36" t="s">
        <v>146</v>
      </c>
      <c r="E35" s="37">
        <v>7.547169811320753E-2</v>
      </c>
      <c r="F35" s="37">
        <v>2.346041055718473E-2</v>
      </c>
      <c r="G35" s="36">
        <f t="shared" ref="G35:R35" si="30">IF(AND(ISNUMBER(G34),ISNUMBER(C34)),G34/C34-1,"n/a")</f>
        <v>-1.4347202295552641E-3</v>
      </c>
      <c r="H35" s="36">
        <f t="shared" si="30"/>
        <v>4.070556309362372E-3</v>
      </c>
      <c r="I35" s="36">
        <f t="shared" si="30"/>
        <v>8.0971659919029104E-3</v>
      </c>
      <c r="J35" s="36">
        <f t="shared" si="30"/>
        <v>8.1661891117478458E-2</v>
      </c>
      <c r="K35" s="36">
        <f t="shared" si="30"/>
        <v>4.31034482758621E-2</v>
      </c>
      <c r="L35" s="36">
        <f t="shared" si="30"/>
        <v>4.7297297297297369E-2</v>
      </c>
      <c r="M35" s="36">
        <f t="shared" si="30"/>
        <v>5.6492637215528774E-2</v>
      </c>
      <c r="N35" s="36">
        <f t="shared" si="30"/>
        <v>7.9337748344370906E-2</v>
      </c>
      <c r="O35" s="36">
        <f t="shared" si="30"/>
        <v>9.1046831955923002E-2</v>
      </c>
      <c r="P35" s="36">
        <f t="shared" si="30"/>
        <v>8.2451612903225779E-2</v>
      </c>
      <c r="Q35" s="36">
        <f t="shared" si="30"/>
        <v>8.9457678661936102E-2</v>
      </c>
      <c r="R35" s="36">
        <f t="shared" si="30"/>
        <v>8.9826972634679203E-2</v>
      </c>
      <c r="S35" s="45"/>
      <c r="T35" s="45"/>
      <c r="U35" s="38" t="s">
        <v>146</v>
      </c>
      <c r="V35" s="38">
        <f t="shared" ref="V35:AB35" si="31">IF(AND(ISNUMBER(V34),ISNUMBER(U34)),V34/U34-1,"n/a")</f>
        <v>2.9390681003584218E-2</v>
      </c>
      <c r="W35" s="38">
        <f t="shared" si="31"/>
        <v>2.3328690807799424E-2</v>
      </c>
      <c r="X35" s="38">
        <f t="shared" si="31"/>
        <v>5.6277645457638581E-2</v>
      </c>
      <c r="Y35" s="38">
        <f t="shared" si="31"/>
        <v>8.8261821930163631E-2</v>
      </c>
      <c r="Z35" s="38">
        <f t="shared" si="31"/>
        <v>9.3476201752308752E-2</v>
      </c>
      <c r="AA35" s="38">
        <f t="shared" si="31"/>
        <v>9.1982025878404094E-2</v>
      </c>
      <c r="AB35" s="38">
        <f t="shared" si="31"/>
        <v>0.11026276648487854</v>
      </c>
      <c r="AC35" s="45"/>
      <c r="AD35" s="45"/>
    </row>
    <row r="36" spans="1:30">
      <c r="A36" s="45" t="s">
        <v>174</v>
      </c>
      <c r="B36" s="45" t="s">
        <v>148</v>
      </c>
      <c r="C36" s="36" t="s">
        <v>146</v>
      </c>
      <c r="D36" s="36">
        <f t="shared" ref="D36:R36" si="32">IF(AND(ISNUMBER(D34),ISNUMBER(C34)),D34/C34-1,"n/a")</f>
        <v>5.7388809182209455E-2</v>
      </c>
      <c r="E36" s="36">
        <f t="shared" si="32"/>
        <v>5.4274084124830146E-3</v>
      </c>
      <c r="F36" s="36">
        <f t="shared" si="32"/>
        <v>-5.802968960863697E-2</v>
      </c>
      <c r="G36" s="36">
        <f t="shared" si="32"/>
        <v>-2.8653295128939771E-3</v>
      </c>
      <c r="H36" s="36">
        <f t="shared" si="32"/>
        <v>6.321839080459779E-2</v>
      </c>
      <c r="I36" s="36">
        <f t="shared" si="32"/>
        <v>9.4594594594594739E-3</v>
      </c>
      <c r="J36" s="36">
        <f t="shared" si="32"/>
        <v>1.0709504685408211E-2</v>
      </c>
      <c r="K36" s="36">
        <f t="shared" si="32"/>
        <v>-3.8410596026490107E-2</v>
      </c>
      <c r="L36" s="36">
        <f t="shared" si="32"/>
        <v>6.7493112947658362E-2</v>
      </c>
      <c r="M36" s="36">
        <f t="shared" si="32"/>
        <v>1.8322580645161457E-2</v>
      </c>
      <c r="N36" s="36">
        <f t="shared" si="32"/>
        <v>3.2564622402432741E-2</v>
      </c>
      <c r="O36" s="36">
        <f t="shared" si="32"/>
        <v>-2.7978893115719661E-2</v>
      </c>
      <c r="P36" s="36">
        <f t="shared" si="32"/>
        <v>5.9083449059462056E-2</v>
      </c>
      <c r="Q36" s="36">
        <f t="shared" si="32"/>
        <v>2.4913577303611767E-2</v>
      </c>
      <c r="R36" s="36">
        <f t="shared" si="32"/>
        <v>3.2914631309606923E-2</v>
      </c>
      <c r="S36" s="45"/>
      <c r="T36" s="45"/>
      <c r="U36" s="38" t="s">
        <v>146</v>
      </c>
      <c r="V36" s="38" t="s">
        <v>146</v>
      </c>
      <c r="W36" s="38" t="s">
        <v>146</v>
      </c>
      <c r="X36" s="38" t="s">
        <v>146</v>
      </c>
      <c r="Y36" s="38" t="s">
        <v>146</v>
      </c>
      <c r="Z36" s="38" t="s">
        <v>146</v>
      </c>
      <c r="AA36" s="38" t="s">
        <v>146</v>
      </c>
      <c r="AB36" s="38" t="s">
        <v>146</v>
      </c>
      <c r="AC36" s="45"/>
      <c r="AD36" s="45"/>
    </row>
    <row r="37" spans="1:30">
      <c r="A37" s="45" t="s">
        <v>175</v>
      </c>
      <c r="B37" s="45" t="s">
        <v>150</v>
      </c>
      <c r="C37" s="36" t="s">
        <v>146</v>
      </c>
      <c r="D37" s="36" t="s">
        <v>146</v>
      </c>
      <c r="E37" s="36" t="s">
        <v>146</v>
      </c>
      <c r="F37" s="36" t="s">
        <v>146</v>
      </c>
      <c r="G37" s="36" t="str">
        <f t="shared" ref="G37:R37" si="33">IF(AND(ISNUMBER(G35),ISNUMBER(C35)),G35+C35,"n/a")</f>
        <v>n/a</v>
      </c>
      <c r="H37" s="36" t="str">
        <f t="shared" si="33"/>
        <v>n/a</v>
      </c>
      <c r="I37" s="36">
        <f t="shared" si="33"/>
        <v>8.3568864105110441E-2</v>
      </c>
      <c r="J37" s="36">
        <f t="shared" si="33"/>
        <v>0.10512230167466319</v>
      </c>
      <c r="K37" s="36">
        <f t="shared" si="33"/>
        <v>4.1668728046306835E-2</v>
      </c>
      <c r="L37" s="36">
        <f t="shared" si="33"/>
        <v>5.1367853606659741E-2</v>
      </c>
      <c r="M37" s="36">
        <f t="shared" si="33"/>
        <v>6.4589803207431684E-2</v>
      </c>
      <c r="N37" s="36">
        <f t="shared" si="33"/>
        <v>0.16099963946184936</v>
      </c>
      <c r="O37" s="36">
        <f t="shared" si="33"/>
        <v>0.1341502802317851</v>
      </c>
      <c r="P37" s="36">
        <f t="shared" si="33"/>
        <v>0.12974891020052315</v>
      </c>
      <c r="Q37" s="36">
        <f t="shared" si="33"/>
        <v>0.14595031587746488</v>
      </c>
      <c r="R37" s="36">
        <f t="shared" si="33"/>
        <v>0.16916472097905011</v>
      </c>
      <c r="S37" s="45"/>
      <c r="T37" s="45"/>
      <c r="U37" s="38" t="s">
        <v>146</v>
      </c>
      <c r="V37" s="38" t="s">
        <v>146</v>
      </c>
      <c r="W37" s="38">
        <f t="shared" ref="W37:AB37" si="34">IF(AND(ISNUMBER(W35),ISNUMBER(V35)),W35+V35,"n/a")</f>
        <v>5.2719371811383642E-2</v>
      </c>
      <c r="X37" s="38">
        <f t="shared" si="34"/>
        <v>7.9606336265438005E-2</v>
      </c>
      <c r="Y37" s="38">
        <f t="shared" si="34"/>
        <v>0.14453946738780221</v>
      </c>
      <c r="Z37" s="38">
        <f t="shared" si="34"/>
        <v>0.18173802368247238</v>
      </c>
      <c r="AA37" s="38">
        <f t="shared" si="34"/>
        <v>0.18545822763071285</v>
      </c>
      <c r="AB37" s="38">
        <f t="shared" si="34"/>
        <v>0.20224479236328263</v>
      </c>
      <c r="AC37" s="45"/>
      <c r="AD37" s="45"/>
    </row>
    <row r="39" spans="1:30">
      <c r="A39" s="34" t="s">
        <v>28</v>
      </c>
      <c r="B39" s="45" t="s">
        <v>142</v>
      </c>
      <c r="C39" s="35">
        <v>642</v>
      </c>
      <c r="D39" s="35">
        <v>679</v>
      </c>
      <c r="E39" s="35">
        <v>684</v>
      </c>
      <c r="F39" s="35">
        <v>640</v>
      </c>
      <c r="G39" s="35">
        <v>640</v>
      </c>
      <c r="H39" s="35">
        <v>690</v>
      </c>
      <c r="I39" s="35">
        <v>707</v>
      </c>
      <c r="J39" s="35">
        <v>713</v>
      </c>
      <c r="K39" s="35">
        <v>687</v>
      </c>
      <c r="L39" s="35">
        <v>734</v>
      </c>
      <c r="M39" s="39" t="s">
        <v>146</v>
      </c>
      <c r="N39" s="39" t="s">
        <v>146</v>
      </c>
      <c r="O39" s="39" t="s">
        <v>146</v>
      </c>
      <c r="P39" s="39" t="s">
        <v>146</v>
      </c>
      <c r="Q39" s="39" t="s">
        <v>146</v>
      </c>
      <c r="R39" s="39" t="s">
        <v>146</v>
      </c>
      <c r="S39" s="45"/>
      <c r="T39" s="45"/>
      <c r="U39" s="39" t="s">
        <v>146</v>
      </c>
      <c r="V39" s="35">
        <v>2645</v>
      </c>
      <c r="W39" s="35">
        <v>2750</v>
      </c>
      <c r="X39" s="39" t="s">
        <v>146</v>
      </c>
      <c r="Y39" s="39" t="s">
        <v>146</v>
      </c>
      <c r="Z39" s="39" t="s">
        <v>146</v>
      </c>
      <c r="AA39" s="39" t="s">
        <v>146</v>
      </c>
      <c r="AB39" s="39" t="s">
        <v>146</v>
      </c>
      <c r="AC39" s="45"/>
      <c r="AD39" s="2" t="s">
        <v>176</v>
      </c>
    </row>
    <row r="40" spans="1:30">
      <c r="A40" s="45" t="s">
        <v>177</v>
      </c>
      <c r="B40" s="45" t="s">
        <v>145</v>
      </c>
      <c r="C40" s="36" t="s">
        <v>146</v>
      </c>
      <c r="D40" s="36" t="s">
        <v>146</v>
      </c>
      <c r="E40" s="37">
        <v>0.09</v>
      </c>
      <c r="F40" s="37">
        <v>0.02</v>
      </c>
      <c r="G40" s="36">
        <f t="shared" ref="G40:R40" si="35">IF(AND(ISNUMBER(G39),ISNUMBER(C39)),G39/C39-1,"n/a")</f>
        <v>-3.1152647975077885E-3</v>
      </c>
      <c r="H40" s="36">
        <f t="shared" si="35"/>
        <v>1.6200294550809957E-2</v>
      </c>
      <c r="I40" s="36">
        <f t="shared" si="35"/>
        <v>3.3625730994152114E-2</v>
      </c>
      <c r="J40" s="36">
        <f t="shared" si="35"/>
        <v>0.11406249999999996</v>
      </c>
      <c r="K40" s="36">
        <f t="shared" si="35"/>
        <v>7.3437500000000044E-2</v>
      </c>
      <c r="L40" s="36">
        <f t="shared" si="35"/>
        <v>6.3768115942028913E-2</v>
      </c>
      <c r="M40" s="36" t="str">
        <f t="shared" si="35"/>
        <v>n/a</v>
      </c>
      <c r="N40" s="36" t="str">
        <f t="shared" si="35"/>
        <v>n/a</v>
      </c>
      <c r="O40" s="36" t="str">
        <f t="shared" si="35"/>
        <v>n/a</v>
      </c>
      <c r="P40" s="36" t="str">
        <f t="shared" si="35"/>
        <v>n/a</v>
      </c>
      <c r="Q40" s="36" t="str">
        <f t="shared" si="35"/>
        <v>n/a</v>
      </c>
      <c r="R40" s="36" t="str">
        <f t="shared" si="35"/>
        <v>n/a</v>
      </c>
      <c r="S40" s="45"/>
      <c r="T40" s="45"/>
      <c r="U40" s="38" t="s">
        <v>146</v>
      </c>
      <c r="V40" s="37">
        <v>0.04</v>
      </c>
      <c r="W40" s="38">
        <f t="shared" ref="W40:AB40" si="36">IF(AND(ISNUMBER(W39),ISNUMBER(V39)),W39/V39-1,"n/a")</f>
        <v>3.969754253308122E-2</v>
      </c>
      <c r="X40" s="38" t="str">
        <f t="shared" si="36"/>
        <v>n/a</v>
      </c>
      <c r="Y40" s="38" t="str">
        <f t="shared" si="36"/>
        <v>n/a</v>
      </c>
      <c r="Z40" s="38" t="str">
        <f t="shared" si="36"/>
        <v>n/a</v>
      </c>
      <c r="AA40" s="38" t="str">
        <f t="shared" si="36"/>
        <v>n/a</v>
      </c>
      <c r="AB40" s="38" t="str">
        <f t="shared" si="36"/>
        <v>n/a</v>
      </c>
      <c r="AC40" s="45"/>
      <c r="AD40" s="45"/>
    </row>
    <row r="41" spans="1:30">
      <c r="A41" s="45" t="s">
        <v>178</v>
      </c>
      <c r="B41" s="45" t="s">
        <v>148</v>
      </c>
      <c r="C41" s="36" t="s">
        <v>146</v>
      </c>
      <c r="D41" s="36">
        <f t="shared" ref="D41:R41" si="37">IF(AND(ISNUMBER(D39),ISNUMBER(C39)),D39/C39-1,"n/a")</f>
        <v>5.7632398753894032E-2</v>
      </c>
      <c r="E41" s="36">
        <f t="shared" si="37"/>
        <v>7.3637702503681624E-3</v>
      </c>
      <c r="F41" s="36">
        <f t="shared" si="37"/>
        <v>-6.4327485380117011E-2</v>
      </c>
      <c r="G41" s="36">
        <f t="shared" si="37"/>
        <v>0</v>
      </c>
      <c r="H41" s="36">
        <f t="shared" si="37"/>
        <v>7.8125E-2</v>
      </c>
      <c r="I41" s="36">
        <f t="shared" si="37"/>
        <v>2.4637681159420222E-2</v>
      </c>
      <c r="J41" s="36">
        <f t="shared" si="37"/>
        <v>8.4865629420085575E-3</v>
      </c>
      <c r="K41" s="36">
        <f t="shared" si="37"/>
        <v>-3.6465638148667656E-2</v>
      </c>
      <c r="L41" s="36">
        <f t="shared" si="37"/>
        <v>6.8413391557496261E-2</v>
      </c>
      <c r="M41" s="36" t="str">
        <f t="shared" si="37"/>
        <v>n/a</v>
      </c>
      <c r="N41" s="36" t="str">
        <f t="shared" si="37"/>
        <v>n/a</v>
      </c>
      <c r="O41" s="36" t="str">
        <f t="shared" si="37"/>
        <v>n/a</v>
      </c>
      <c r="P41" s="36" t="str">
        <f t="shared" si="37"/>
        <v>n/a</v>
      </c>
      <c r="Q41" s="36" t="str">
        <f t="shared" si="37"/>
        <v>n/a</v>
      </c>
      <c r="R41" s="36" t="str">
        <f t="shared" si="37"/>
        <v>n/a</v>
      </c>
      <c r="S41" s="45"/>
      <c r="T41" s="45"/>
      <c r="U41" s="38" t="s">
        <v>146</v>
      </c>
      <c r="V41" s="38" t="s">
        <v>146</v>
      </c>
      <c r="W41" s="38" t="s">
        <v>146</v>
      </c>
      <c r="X41" s="38" t="s">
        <v>146</v>
      </c>
      <c r="Y41" s="38" t="s">
        <v>146</v>
      </c>
      <c r="Z41" s="38" t="s">
        <v>146</v>
      </c>
      <c r="AA41" s="38" t="s">
        <v>146</v>
      </c>
      <c r="AB41" s="38" t="s">
        <v>146</v>
      </c>
      <c r="AC41" s="45"/>
      <c r="AD41" s="45"/>
    </row>
    <row r="42" spans="1:30">
      <c r="A42" s="45" t="s">
        <v>179</v>
      </c>
      <c r="B42" s="45" t="s">
        <v>150</v>
      </c>
      <c r="C42" s="36" t="s">
        <v>146</v>
      </c>
      <c r="D42" s="36" t="s">
        <v>146</v>
      </c>
      <c r="E42" s="36" t="s">
        <v>146</v>
      </c>
      <c r="F42" s="36" t="s">
        <v>146</v>
      </c>
      <c r="G42" s="36" t="str">
        <f t="shared" ref="G42:R42" si="38">IF(AND(ISNUMBER(G40),ISNUMBER(C40)),G40+C40,"n/a")</f>
        <v>n/a</v>
      </c>
      <c r="H42" s="36" t="str">
        <f t="shared" si="38"/>
        <v>n/a</v>
      </c>
      <c r="I42" s="36">
        <f t="shared" si="38"/>
        <v>0.12362573099415211</v>
      </c>
      <c r="J42" s="36">
        <f t="shared" si="38"/>
        <v>0.13406249999999995</v>
      </c>
      <c r="K42" s="36">
        <f t="shared" si="38"/>
        <v>7.0322235202492256E-2</v>
      </c>
      <c r="L42" s="36">
        <f t="shared" si="38"/>
        <v>7.9968410492838871E-2</v>
      </c>
      <c r="M42" s="36" t="str">
        <f t="shared" si="38"/>
        <v>n/a</v>
      </c>
      <c r="N42" s="36" t="str">
        <f t="shared" si="38"/>
        <v>n/a</v>
      </c>
      <c r="O42" s="36" t="str">
        <f t="shared" si="38"/>
        <v>n/a</v>
      </c>
      <c r="P42" s="36" t="str">
        <f t="shared" si="38"/>
        <v>n/a</v>
      </c>
      <c r="Q42" s="36" t="str">
        <f t="shared" si="38"/>
        <v>n/a</v>
      </c>
      <c r="R42" s="36" t="str">
        <f t="shared" si="38"/>
        <v>n/a</v>
      </c>
      <c r="S42" s="45"/>
      <c r="T42" s="45"/>
      <c r="U42" s="38" t="s">
        <v>146</v>
      </c>
      <c r="V42" s="38" t="s">
        <v>146</v>
      </c>
      <c r="W42" s="38">
        <f t="shared" ref="W42:AB42" si="39">IF(AND(ISNUMBER(W40),ISNUMBER(V40)),W40+V40,"n/a")</f>
        <v>7.9697542533081228E-2</v>
      </c>
      <c r="X42" s="38" t="str">
        <f t="shared" si="39"/>
        <v>n/a</v>
      </c>
      <c r="Y42" s="38" t="str">
        <f t="shared" si="39"/>
        <v>n/a</v>
      </c>
      <c r="Z42" s="38" t="str">
        <f t="shared" si="39"/>
        <v>n/a</v>
      </c>
      <c r="AA42" s="38" t="str">
        <f t="shared" si="39"/>
        <v>n/a</v>
      </c>
      <c r="AB42" s="38" t="str">
        <f t="shared" si="39"/>
        <v>n/a</v>
      </c>
      <c r="AC42" s="45"/>
      <c r="AD42" s="45"/>
    </row>
    <row r="44" spans="1:30">
      <c r="A44" s="34" t="s">
        <v>180</v>
      </c>
      <c r="B44" s="45" t="s">
        <v>142</v>
      </c>
      <c r="C44" s="40">
        <v>7.0000000000000007E-2</v>
      </c>
      <c r="D44" s="40">
        <v>0.05</v>
      </c>
      <c r="E44" s="40">
        <v>0.11</v>
      </c>
      <c r="F44" s="40">
        <v>0.08</v>
      </c>
      <c r="G44" s="40">
        <v>0.08</v>
      </c>
      <c r="H44" s="40">
        <v>0.1</v>
      </c>
      <c r="I44" s="40">
        <v>0.12</v>
      </c>
      <c r="J44" s="40">
        <v>0.2</v>
      </c>
      <c r="K44" s="40">
        <v>0.2</v>
      </c>
      <c r="L44" s="40">
        <v>0.15</v>
      </c>
      <c r="M44" s="39" t="s">
        <v>146</v>
      </c>
      <c r="N44" s="39" t="s">
        <v>146</v>
      </c>
      <c r="O44" s="39" t="s">
        <v>146</v>
      </c>
      <c r="P44" s="39" t="s">
        <v>146</v>
      </c>
      <c r="Q44" s="39" t="s">
        <v>146</v>
      </c>
      <c r="R44" s="39" t="s">
        <v>146</v>
      </c>
      <c r="S44" s="45"/>
      <c r="T44" s="45"/>
      <c r="U44" s="39" t="s">
        <v>146</v>
      </c>
      <c r="V44" s="40">
        <v>0.08</v>
      </c>
      <c r="W44" s="40">
        <v>0.12</v>
      </c>
      <c r="X44" s="40">
        <v>0.15</v>
      </c>
      <c r="Y44" s="39" t="s">
        <v>146</v>
      </c>
      <c r="Z44" s="39" t="s">
        <v>146</v>
      </c>
      <c r="AA44" s="39" t="s">
        <v>146</v>
      </c>
      <c r="AB44" s="39" t="s">
        <v>146</v>
      </c>
      <c r="AC44" s="45"/>
      <c r="AD44" s="2" t="s">
        <v>181</v>
      </c>
    </row>
    <row r="45" spans="1:30">
      <c r="A45" s="45" t="s">
        <v>182</v>
      </c>
      <c r="B45" s="45" t="s">
        <v>150</v>
      </c>
      <c r="C45" s="38" t="s">
        <v>146</v>
      </c>
      <c r="D45" s="38" t="s">
        <v>146</v>
      </c>
      <c r="E45" s="38" t="s">
        <v>146</v>
      </c>
      <c r="F45" s="38" t="s">
        <v>146</v>
      </c>
      <c r="G45" s="38">
        <f t="shared" ref="G45:R45" si="40">IF(AND(ISNUMBER(G44),ISNUMBER(C44)),G44+C44,"n/a")</f>
        <v>0.15000000000000002</v>
      </c>
      <c r="H45" s="38">
        <f t="shared" si="40"/>
        <v>0.15000000000000002</v>
      </c>
      <c r="I45" s="38">
        <f t="shared" si="40"/>
        <v>0.22999999999999998</v>
      </c>
      <c r="J45" s="38">
        <f t="shared" si="40"/>
        <v>0.28000000000000003</v>
      </c>
      <c r="K45" s="38">
        <f t="shared" si="40"/>
        <v>0.28000000000000003</v>
      </c>
      <c r="L45" s="38">
        <f t="shared" si="40"/>
        <v>0.25</v>
      </c>
      <c r="M45" s="38" t="str">
        <f t="shared" si="40"/>
        <v>n/a</v>
      </c>
      <c r="N45" s="38" t="str">
        <f t="shared" si="40"/>
        <v>n/a</v>
      </c>
      <c r="O45" s="38" t="str">
        <f t="shared" si="40"/>
        <v>n/a</v>
      </c>
      <c r="P45" s="38" t="str">
        <f t="shared" si="40"/>
        <v>n/a</v>
      </c>
      <c r="Q45" s="38" t="str">
        <f t="shared" si="40"/>
        <v>n/a</v>
      </c>
      <c r="R45" s="38" t="str">
        <f t="shared" si="40"/>
        <v>n/a</v>
      </c>
      <c r="S45" s="45"/>
      <c r="T45" s="45"/>
      <c r="U45" s="38" t="s">
        <v>146</v>
      </c>
      <c r="V45" s="38" t="str">
        <f t="shared" ref="V45:AB45" si="41">IF(AND(ISNUMBER(V44),ISNUMBER(U44)),V44+U44,"n/a")</f>
        <v>n/a</v>
      </c>
      <c r="W45" s="38">
        <f t="shared" si="41"/>
        <v>0.2</v>
      </c>
      <c r="X45" s="38">
        <f t="shared" si="41"/>
        <v>0.27</v>
      </c>
      <c r="Y45" s="38" t="str">
        <f t="shared" si="41"/>
        <v>n/a</v>
      </c>
      <c r="Z45" s="38" t="str">
        <f t="shared" si="41"/>
        <v>n/a</v>
      </c>
      <c r="AA45" s="38" t="str">
        <f t="shared" si="41"/>
        <v>n/a</v>
      </c>
      <c r="AB45" s="38" t="str">
        <f t="shared" si="41"/>
        <v>n/a</v>
      </c>
      <c r="AC45" s="45"/>
      <c r="AD45" s="45"/>
    </row>
    <row r="47" spans="1:30">
      <c r="A47" s="34" t="s">
        <v>183</v>
      </c>
      <c r="B47" s="45" t="s">
        <v>142</v>
      </c>
      <c r="C47" s="40">
        <v>-0.05</v>
      </c>
      <c r="D47" s="40">
        <v>-0.03</v>
      </c>
      <c r="E47" s="40">
        <v>0.06</v>
      </c>
      <c r="F47" s="40">
        <v>-0.05</v>
      </c>
      <c r="G47" s="40">
        <v>-0.11</v>
      </c>
      <c r="H47" s="40">
        <v>-0.09</v>
      </c>
      <c r="I47" s="40">
        <v>-0.08</v>
      </c>
      <c r="J47" s="40">
        <v>0</v>
      </c>
      <c r="K47" s="40">
        <v>-0.12</v>
      </c>
      <c r="L47" s="40">
        <v>-7.0000000000000007E-2</v>
      </c>
      <c r="M47" s="39" t="s">
        <v>146</v>
      </c>
      <c r="N47" s="39" t="s">
        <v>146</v>
      </c>
      <c r="O47" s="39" t="s">
        <v>146</v>
      </c>
      <c r="P47" s="39" t="s">
        <v>146</v>
      </c>
      <c r="Q47" s="39" t="s">
        <v>146</v>
      </c>
      <c r="R47" s="39" t="s">
        <v>146</v>
      </c>
      <c r="S47" s="45"/>
      <c r="T47" s="45"/>
      <c r="U47" s="39" t="s">
        <v>146</v>
      </c>
      <c r="V47" s="40">
        <v>-0.02</v>
      </c>
      <c r="W47" s="40">
        <v>-7.0000000000000007E-2</v>
      </c>
      <c r="X47" s="40">
        <v>-7.4999999999999997E-2</v>
      </c>
      <c r="Y47" s="39" t="s">
        <v>146</v>
      </c>
      <c r="Z47" s="39" t="s">
        <v>146</v>
      </c>
      <c r="AA47" s="39" t="s">
        <v>146</v>
      </c>
      <c r="AB47" s="39" t="s">
        <v>146</v>
      </c>
      <c r="AC47" s="45"/>
      <c r="AD47" s="2" t="s">
        <v>184</v>
      </c>
    </row>
    <row r="48" spans="1:30">
      <c r="A48" s="45" t="s">
        <v>185</v>
      </c>
      <c r="B48" s="45" t="s">
        <v>150</v>
      </c>
      <c r="C48" s="38" t="s">
        <v>146</v>
      </c>
      <c r="D48" s="38" t="s">
        <v>146</v>
      </c>
      <c r="E48" s="38" t="s">
        <v>146</v>
      </c>
      <c r="F48" s="38" t="s">
        <v>146</v>
      </c>
      <c r="G48" s="38">
        <f t="shared" ref="G48:R48" si="42">IF(AND(ISNUMBER(G47),ISNUMBER(C47)),G47+C47,"n/a")</f>
        <v>-0.16</v>
      </c>
      <c r="H48" s="38">
        <f t="shared" si="42"/>
        <v>-0.12</v>
      </c>
      <c r="I48" s="38">
        <f t="shared" si="42"/>
        <v>-2.0000000000000004E-2</v>
      </c>
      <c r="J48" s="38">
        <f t="shared" si="42"/>
        <v>-0.05</v>
      </c>
      <c r="K48" s="38">
        <f t="shared" si="42"/>
        <v>-0.22999999999999998</v>
      </c>
      <c r="L48" s="38">
        <f t="shared" si="42"/>
        <v>-0.16</v>
      </c>
      <c r="M48" s="38" t="str">
        <f t="shared" si="42"/>
        <v>n/a</v>
      </c>
      <c r="N48" s="38" t="str">
        <f t="shared" si="42"/>
        <v>n/a</v>
      </c>
      <c r="O48" s="38" t="str">
        <f t="shared" si="42"/>
        <v>n/a</v>
      </c>
      <c r="P48" s="38" t="str">
        <f t="shared" si="42"/>
        <v>n/a</v>
      </c>
      <c r="Q48" s="38" t="str">
        <f t="shared" si="42"/>
        <v>n/a</v>
      </c>
      <c r="R48" s="38" t="str">
        <f t="shared" si="42"/>
        <v>n/a</v>
      </c>
      <c r="S48" s="45"/>
      <c r="T48" s="45"/>
      <c r="U48" s="38" t="s">
        <v>146</v>
      </c>
      <c r="V48" s="38" t="str">
        <f t="shared" ref="V48:AB48" si="43">IF(AND(ISNUMBER(V47),ISNUMBER(U47)),V47+U47,"n/a")</f>
        <v>n/a</v>
      </c>
      <c r="W48" s="38">
        <f t="shared" si="43"/>
        <v>-9.0000000000000011E-2</v>
      </c>
      <c r="X48" s="38">
        <f t="shared" si="43"/>
        <v>-0.14500000000000002</v>
      </c>
      <c r="Y48" s="38" t="str">
        <f t="shared" si="43"/>
        <v>n/a</v>
      </c>
      <c r="Z48" s="38" t="str">
        <f t="shared" si="43"/>
        <v>n/a</v>
      </c>
      <c r="AA48" s="38" t="str">
        <f t="shared" si="43"/>
        <v>n/a</v>
      </c>
      <c r="AB48" s="38" t="str">
        <f t="shared" si="43"/>
        <v>n/a</v>
      </c>
      <c r="AC48" s="45"/>
      <c r="AD48" s="45"/>
    </row>
    <row r="50" spans="1:30">
      <c r="A50" s="34" t="s">
        <v>186</v>
      </c>
      <c r="B50" s="45" t="s">
        <v>142</v>
      </c>
      <c r="C50" s="35">
        <v>708</v>
      </c>
      <c r="D50" s="35">
        <v>758</v>
      </c>
      <c r="E50" s="35">
        <v>761</v>
      </c>
      <c r="F50" s="35">
        <v>745</v>
      </c>
      <c r="G50" s="35">
        <v>702</v>
      </c>
      <c r="H50" s="35">
        <v>735</v>
      </c>
      <c r="I50" s="35">
        <v>750</v>
      </c>
      <c r="J50" s="35">
        <v>777</v>
      </c>
      <c r="K50" s="35">
        <v>744</v>
      </c>
      <c r="L50" s="35">
        <v>790</v>
      </c>
      <c r="M50" s="35">
        <v>794.6</v>
      </c>
      <c r="N50" s="35">
        <v>837.8</v>
      </c>
      <c r="O50" s="35">
        <v>797.2</v>
      </c>
      <c r="P50" s="35">
        <v>842.1</v>
      </c>
      <c r="Q50" s="35">
        <v>852.2</v>
      </c>
      <c r="R50" s="35">
        <v>891.6</v>
      </c>
      <c r="S50" s="45"/>
      <c r="T50" s="45"/>
      <c r="U50" s="39" t="s">
        <v>146</v>
      </c>
      <c r="V50" s="35">
        <v>2973</v>
      </c>
      <c r="W50" s="35">
        <v>2964</v>
      </c>
      <c r="X50" s="35">
        <v>3166.6</v>
      </c>
      <c r="Y50" s="35">
        <v>3396.1</v>
      </c>
      <c r="Z50" s="35">
        <v>3659.2</v>
      </c>
      <c r="AA50" s="35">
        <v>3956.5</v>
      </c>
      <c r="AB50" s="35">
        <v>4277.3999999999996</v>
      </c>
      <c r="AC50" s="45"/>
      <c r="AD50" s="2" t="s">
        <v>187</v>
      </c>
    </row>
    <row r="51" spans="1:30">
      <c r="A51" s="45" t="s">
        <v>188</v>
      </c>
      <c r="B51" s="45" t="s">
        <v>145</v>
      </c>
      <c r="C51" s="36" t="s">
        <v>146</v>
      </c>
      <c r="D51" s="36" t="s">
        <v>146</v>
      </c>
      <c r="E51" s="36" t="s">
        <v>146</v>
      </c>
      <c r="F51" s="36" t="s">
        <v>146</v>
      </c>
      <c r="G51" s="36">
        <f t="shared" ref="G51:R51" si="44">IF(AND(ISNUMBER(G50),ISNUMBER(C50)),G50/C50-1,"n/a")</f>
        <v>-8.4745762711864181E-3</v>
      </c>
      <c r="H51" s="36">
        <f t="shared" si="44"/>
        <v>-3.0343007915567322E-2</v>
      </c>
      <c r="I51" s="36">
        <f t="shared" si="44"/>
        <v>-1.4454664914586024E-2</v>
      </c>
      <c r="J51" s="36">
        <f t="shared" si="44"/>
        <v>4.2953020134228082E-2</v>
      </c>
      <c r="K51" s="36">
        <f t="shared" si="44"/>
        <v>5.9829059829059839E-2</v>
      </c>
      <c r="L51" s="36">
        <f t="shared" si="44"/>
        <v>7.4829931972789199E-2</v>
      </c>
      <c r="M51" s="36">
        <f t="shared" si="44"/>
        <v>5.9466666666666779E-2</v>
      </c>
      <c r="N51" s="36">
        <f t="shared" si="44"/>
        <v>7.8249678249678212E-2</v>
      </c>
      <c r="O51" s="36">
        <f t="shared" si="44"/>
        <v>7.1505376344086047E-2</v>
      </c>
      <c r="P51" s="36">
        <f t="shared" si="44"/>
        <v>6.5949367088607547E-2</v>
      </c>
      <c r="Q51" s="36">
        <f t="shared" si="44"/>
        <v>7.2489302793858679E-2</v>
      </c>
      <c r="R51" s="36">
        <f t="shared" si="44"/>
        <v>6.4215803294342511E-2</v>
      </c>
      <c r="S51" s="45"/>
      <c r="T51" s="45"/>
      <c r="U51" s="38" t="s">
        <v>146</v>
      </c>
      <c r="V51" s="38" t="str">
        <f t="shared" ref="V51:AB51" si="45">IF(AND(ISNUMBER(V50),ISNUMBER(U50)),V50/U50-1,"n/a")</f>
        <v>n/a</v>
      </c>
      <c r="W51" s="38">
        <f t="shared" si="45"/>
        <v>-3.0272452068617062E-3</v>
      </c>
      <c r="X51" s="38">
        <f t="shared" si="45"/>
        <v>6.8353576248312953E-2</v>
      </c>
      <c r="Y51" s="38">
        <f t="shared" si="45"/>
        <v>7.2475210004421253E-2</v>
      </c>
      <c r="Z51" s="38">
        <f t="shared" si="45"/>
        <v>7.7471216984187796E-2</v>
      </c>
      <c r="AA51" s="38">
        <f t="shared" si="45"/>
        <v>8.1247267162221304E-2</v>
      </c>
      <c r="AB51" s="38">
        <f t="shared" si="45"/>
        <v>8.1107039049665097E-2</v>
      </c>
      <c r="AC51" s="45"/>
      <c r="AD51" s="45"/>
    </row>
    <row r="52" spans="1:30">
      <c r="A52" s="45" t="s">
        <v>189</v>
      </c>
      <c r="B52" s="45" t="s">
        <v>148</v>
      </c>
      <c r="C52" s="36" t="s">
        <v>146</v>
      </c>
      <c r="D52" s="36">
        <f t="shared" ref="D52:R52" si="46">IF(AND(ISNUMBER(D50),ISNUMBER(C50)),D50/C50-1,"n/a")</f>
        <v>7.0621468926553632E-2</v>
      </c>
      <c r="E52" s="36">
        <f t="shared" si="46"/>
        <v>3.9577836411608391E-3</v>
      </c>
      <c r="F52" s="36">
        <f t="shared" si="46"/>
        <v>-2.1024967148488782E-2</v>
      </c>
      <c r="G52" s="36">
        <f t="shared" si="46"/>
        <v>-5.7718120805369089E-2</v>
      </c>
      <c r="H52" s="36">
        <f t="shared" si="46"/>
        <v>4.7008547008547064E-2</v>
      </c>
      <c r="I52" s="36">
        <f t="shared" si="46"/>
        <v>2.0408163265306145E-2</v>
      </c>
      <c r="J52" s="36">
        <f t="shared" si="46"/>
        <v>3.6000000000000032E-2</v>
      </c>
      <c r="K52" s="36">
        <f t="shared" si="46"/>
        <v>-4.2471042471042497E-2</v>
      </c>
      <c r="L52" s="36">
        <f t="shared" si="46"/>
        <v>6.1827956989247257E-2</v>
      </c>
      <c r="M52" s="36">
        <f t="shared" si="46"/>
        <v>5.8227848101266577E-3</v>
      </c>
      <c r="N52" s="36">
        <f t="shared" si="46"/>
        <v>5.4366977095393842E-2</v>
      </c>
      <c r="O52" s="36">
        <f t="shared" si="46"/>
        <v>-4.846025304368573E-2</v>
      </c>
      <c r="P52" s="36">
        <f t="shared" si="46"/>
        <v>5.6322127446061243E-2</v>
      </c>
      <c r="Q52" s="36">
        <f t="shared" si="46"/>
        <v>1.1993824961405997E-2</v>
      </c>
      <c r="R52" s="36">
        <f t="shared" si="46"/>
        <v>4.6233278573104775E-2</v>
      </c>
      <c r="S52" s="45"/>
      <c r="T52" s="45"/>
      <c r="U52" s="38" t="s">
        <v>146</v>
      </c>
      <c r="V52" s="38" t="s">
        <v>146</v>
      </c>
      <c r="W52" s="38" t="s">
        <v>146</v>
      </c>
      <c r="X52" s="38" t="s">
        <v>146</v>
      </c>
      <c r="Y52" s="38" t="s">
        <v>146</v>
      </c>
      <c r="Z52" s="38" t="s">
        <v>146</v>
      </c>
      <c r="AA52" s="38" t="s">
        <v>146</v>
      </c>
      <c r="AB52" s="38" t="s">
        <v>146</v>
      </c>
      <c r="AC52" s="45"/>
      <c r="AD52" s="45"/>
    </row>
    <row r="53" spans="1:30">
      <c r="A53" s="45" t="s">
        <v>190</v>
      </c>
      <c r="B53" s="45" t="s">
        <v>150</v>
      </c>
      <c r="C53" s="36" t="s">
        <v>146</v>
      </c>
      <c r="D53" s="36" t="s">
        <v>146</v>
      </c>
      <c r="E53" s="36" t="s">
        <v>146</v>
      </c>
      <c r="F53" s="36" t="s">
        <v>146</v>
      </c>
      <c r="G53" s="36" t="str">
        <f t="shared" ref="G53:R53" si="47">IF(AND(ISNUMBER(G51),ISNUMBER(C51)),G51+C51,"n/a")</f>
        <v>n/a</v>
      </c>
      <c r="H53" s="36" t="str">
        <f t="shared" si="47"/>
        <v>n/a</v>
      </c>
      <c r="I53" s="36" t="str">
        <f t="shared" si="47"/>
        <v>n/a</v>
      </c>
      <c r="J53" s="36" t="str">
        <f t="shared" si="47"/>
        <v>n/a</v>
      </c>
      <c r="K53" s="36">
        <f t="shared" si="47"/>
        <v>5.135448355787342E-2</v>
      </c>
      <c r="L53" s="36">
        <f t="shared" si="47"/>
        <v>4.4486924057221877E-2</v>
      </c>
      <c r="M53" s="36">
        <f t="shared" si="47"/>
        <v>4.5012001752080755E-2</v>
      </c>
      <c r="N53" s="36">
        <f t="shared" si="47"/>
        <v>0.12120269838390629</v>
      </c>
      <c r="O53" s="36">
        <f t="shared" si="47"/>
        <v>0.13133443617314589</v>
      </c>
      <c r="P53" s="36">
        <f t="shared" si="47"/>
        <v>0.14077929906139675</v>
      </c>
      <c r="Q53" s="36">
        <f t="shared" si="47"/>
        <v>0.13195596946052546</v>
      </c>
      <c r="R53" s="36">
        <f t="shared" si="47"/>
        <v>0.14246548154402072</v>
      </c>
      <c r="S53" s="45"/>
      <c r="T53" s="45"/>
      <c r="U53" s="38" t="s">
        <v>146</v>
      </c>
      <c r="V53" s="38" t="s">
        <v>146</v>
      </c>
      <c r="W53" s="38" t="str">
        <f t="shared" ref="W53:AB53" si="48">IF(AND(ISNUMBER(W51),ISNUMBER(V51)),W51+V51,"n/a")</f>
        <v>n/a</v>
      </c>
      <c r="X53" s="38">
        <f t="shared" si="48"/>
        <v>6.5326331041451247E-2</v>
      </c>
      <c r="Y53" s="38">
        <f t="shared" si="48"/>
        <v>0.14082878625273421</v>
      </c>
      <c r="Z53" s="38">
        <f t="shared" si="48"/>
        <v>0.14994642698860905</v>
      </c>
      <c r="AA53" s="38">
        <f t="shared" si="48"/>
        <v>0.1587184841464091</v>
      </c>
      <c r="AB53" s="38">
        <f t="shared" si="48"/>
        <v>0.1623543062118864</v>
      </c>
      <c r="AC53" s="45"/>
      <c r="AD53" s="45"/>
    </row>
    <row r="55" spans="1:30">
      <c r="A55" s="34" t="s">
        <v>191</v>
      </c>
      <c r="B55" s="45" t="s">
        <v>142</v>
      </c>
      <c r="C55" s="35">
        <v>218</v>
      </c>
      <c r="D55" s="35">
        <v>242</v>
      </c>
      <c r="E55" s="35">
        <v>244</v>
      </c>
      <c r="F55" s="35">
        <v>218</v>
      </c>
      <c r="G55" s="35">
        <v>212</v>
      </c>
      <c r="H55" s="35">
        <v>252</v>
      </c>
      <c r="I55" s="35">
        <v>265</v>
      </c>
      <c r="J55" s="35">
        <v>275</v>
      </c>
      <c r="K55" s="35">
        <v>239</v>
      </c>
      <c r="L55" s="35">
        <v>260</v>
      </c>
      <c r="M55" s="35">
        <v>277</v>
      </c>
      <c r="N55" s="35">
        <v>311.5</v>
      </c>
      <c r="O55" s="35">
        <v>271.89999999999998</v>
      </c>
      <c r="P55" s="35">
        <v>299.8</v>
      </c>
      <c r="Q55" s="35">
        <v>315.3</v>
      </c>
      <c r="R55" s="35">
        <v>345.3</v>
      </c>
      <c r="S55" s="45"/>
      <c r="T55" s="45"/>
      <c r="U55" s="39" t="s">
        <v>146</v>
      </c>
      <c r="V55" s="35">
        <v>922</v>
      </c>
      <c r="W55" s="35">
        <v>1004</v>
      </c>
      <c r="X55" s="35">
        <v>1086.8</v>
      </c>
      <c r="Y55" s="35">
        <v>1240.4000000000001</v>
      </c>
      <c r="Z55" s="35">
        <v>1394.6</v>
      </c>
      <c r="AA55" s="35">
        <v>1563.8</v>
      </c>
      <c r="AB55" s="35">
        <v>1753.3</v>
      </c>
      <c r="AC55" s="45"/>
      <c r="AD55" s="2" t="s">
        <v>192</v>
      </c>
    </row>
    <row r="56" spans="1:30">
      <c r="A56" s="45" t="s">
        <v>193</v>
      </c>
      <c r="B56" s="45" t="s">
        <v>145</v>
      </c>
      <c r="C56" s="36" t="s">
        <v>146</v>
      </c>
      <c r="D56" s="36" t="s">
        <v>146</v>
      </c>
      <c r="E56" s="36" t="s">
        <v>146</v>
      </c>
      <c r="F56" s="36" t="s">
        <v>146</v>
      </c>
      <c r="G56" s="36">
        <f t="shared" ref="G56:R56" si="49">IF(AND(ISNUMBER(G55),ISNUMBER(C55)),G55/C55-1,"n/a")</f>
        <v>-2.752293577981646E-2</v>
      </c>
      <c r="H56" s="36">
        <f t="shared" si="49"/>
        <v>4.1322314049586861E-2</v>
      </c>
      <c r="I56" s="36">
        <f t="shared" si="49"/>
        <v>8.6065573770491843E-2</v>
      </c>
      <c r="J56" s="36">
        <f t="shared" si="49"/>
        <v>0.26146788990825698</v>
      </c>
      <c r="K56" s="36">
        <f t="shared" si="49"/>
        <v>0.12735849056603765</v>
      </c>
      <c r="L56" s="36">
        <f t="shared" si="49"/>
        <v>3.1746031746031855E-2</v>
      </c>
      <c r="M56" s="36">
        <f t="shared" si="49"/>
        <v>4.5283018867924518E-2</v>
      </c>
      <c r="N56" s="36">
        <f t="shared" si="49"/>
        <v>0.1327272727272728</v>
      </c>
      <c r="O56" s="36">
        <f t="shared" si="49"/>
        <v>0.13765690376569029</v>
      </c>
      <c r="P56" s="36">
        <f t="shared" si="49"/>
        <v>0.15307692307692311</v>
      </c>
      <c r="Q56" s="36">
        <f t="shared" si="49"/>
        <v>0.1382671480144404</v>
      </c>
      <c r="R56" s="36">
        <f t="shared" si="49"/>
        <v>0.10850722311396477</v>
      </c>
      <c r="S56" s="45"/>
      <c r="T56" s="45"/>
      <c r="U56" s="38" t="s">
        <v>146</v>
      </c>
      <c r="V56" s="38" t="str">
        <f t="shared" ref="V56:AB56" si="50">IF(AND(ISNUMBER(V55),ISNUMBER(U55)),V55/U55-1,"n/a")</f>
        <v>n/a</v>
      </c>
      <c r="W56" s="38">
        <f t="shared" si="50"/>
        <v>8.8937093275488044E-2</v>
      </c>
      <c r="X56" s="38">
        <f t="shared" si="50"/>
        <v>8.2470119521912411E-2</v>
      </c>
      <c r="Y56" s="38">
        <f t="shared" si="50"/>
        <v>0.14133235185866777</v>
      </c>
      <c r="Z56" s="38">
        <f t="shared" si="50"/>
        <v>0.12431473718155428</v>
      </c>
      <c r="AA56" s="38">
        <f t="shared" si="50"/>
        <v>0.12132511114298006</v>
      </c>
      <c r="AB56" s="38">
        <f t="shared" si="50"/>
        <v>0.12117917892313601</v>
      </c>
      <c r="AC56" s="45"/>
      <c r="AD56" s="45"/>
    </row>
    <row r="57" spans="1:30">
      <c r="A57" s="45" t="s">
        <v>194</v>
      </c>
      <c r="B57" s="45" t="s">
        <v>148</v>
      </c>
      <c r="C57" s="36" t="s">
        <v>146</v>
      </c>
      <c r="D57" s="36">
        <f t="shared" ref="D57:R57" si="51">IF(AND(ISNUMBER(D55),ISNUMBER(C55)),D55/C55-1,"n/a")</f>
        <v>0.11009174311926606</v>
      </c>
      <c r="E57" s="36">
        <f t="shared" si="51"/>
        <v>8.2644628099173278E-3</v>
      </c>
      <c r="F57" s="36">
        <f t="shared" si="51"/>
        <v>-0.10655737704918034</v>
      </c>
      <c r="G57" s="36">
        <f t="shared" si="51"/>
        <v>-2.752293577981646E-2</v>
      </c>
      <c r="H57" s="36">
        <f t="shared" si="51"/>
        <v>0.18867924528301883</v>
      </c>
      <c r="I57" s="36">
        <f t="shared" si="51"/>
        <v>5.1587301587301626E-2</v>
      </c>
      <c r="J57" s="36">
        <f t="shared" si="51"/>
        <v>3.7735849056603765E-2</v>
      </c>
      <c r="K57" s="36">
        <f t="shared" si="51"/>
        <v>-0.13090909090909086</v>
      </c>
      <c r="L57" s="36">
        <f t="shared" si="51"/>
        <v>8.786610878661083E-2</v>
      </c>
      <c r="M57" s="36">
        <f t="shared" si="51"/>
        <v>6.5384615384615374E-2</v>
      </c>
      <c r="N57" s="36">
        <f t="shared" si="51"/>
        <v>0.12454873646209386</v>
      </c>
      <c r="O57" s="36">
        <f t="shared" si="51"/>
        <v>-0.12712680577849123</v>
      </c>
      <c r="P57" s="36">
        <f t="shared" si="51"/>
        <v>0.10261125413755079</v>
      </c>
      <c r="Q57" s="36">
        <f t="shared" si="51"/>
        <v>5.1701134089392919E-2</v>
      </c>
      <c r="R57" s="36">
        <f t="shared" si="51"/>
        <v>9.514747859181738E-2</v>
      </c>
      <c r="S57" s="45"/>
      <c r="T57" s="45"/>
      <c r="U57" s="38" t="s">
        <v>146</v>
      </c>
      <c r="V57" s="38" t="s">
        <v>146</v>
      </c>
      <c r="W57" s="38" t="s">
        <v>146</v>
      </c>
      <c r="X57" s="38" t="s">
        <v>146</v>
      </c>
      <c r="Y57" s="38" t="s">
        <v>146</v>
      </c>
      <c r="Z57" s="38" t="s">
        <v>146</v>
      </c>
      <c r="AA57" s="38" t="s">
        <v>146</v>
      </c>
      <c r="AB57" s="38" t="s">
        <v>146</v>
      </c>
      <c r="AC57" s="45"/>
      <c r="AD57" s="45"/>
    </row>
    <row r="58" spans="1:30">
      <c r="A58" s="45" t="s">
        <v>195</v>
      </c>
      <c r="B58" s="45" t="s">
        <v>150</v>
      </c>
      <c r="C58" s="36" t="s">
        <v>146</v>
      </c>
      <c r="D58" s="36" t="s">
        <v>146</v>
      </c>
      <c r="E58" s="36" t="s">
        <v>146</v>
      </c>
      <c r="F58" s="36" t="s">
        <v>146</v>
      </c>
      <c r="G58" s="36" t="str">
        <f t="shared" ref="G58:R58" si="52">IF(AND(ISNUMBER(G56),ISNUMBER(C56)),G56+C56,"n/a")</f>
        <v>n/a</v>
      </c>
      <c r="H58" s="36" t="str">
        <f t="shared" si="52"/>
        <v>n/a</v>
      </c>
      <c r="I58" s="36" t="str">
        <f t="shared" si="52"/>
        <v>n/a</v>
      </c>
      <c r="J58" s="36" t="str">
        <f t="shared" si="52"/>
        <v>n/a</v>
      </c>
      <c r="K58" s="36">
        <f t="shared" si="52"/>
        <v>9.9835554786221192E-2</v>
      </c>
      <c r="L58" s="36">
        <f t="shared" si="52"/>
        <v>7.3068345795618717E-2</v>
      </c>
      <c r="M58" s="36">
        <f t="shared" si="52"/>
        <v>0.13134859263841636</v>
      </c>
      <c r="N58" s="36">
        <f t="shared" si="52"/>
        <v>0.39419516263552978</v>
      </c>
      <c r="O58" s="36">
        <f t="shared" si="52"/>
        <v>0.26501539433172794</v>
      </c>
      <c r="P58" s="36">
        <f t="shared" si="52"/>
        <v>0.18482295482295497</v>
      </c>
      <c r="Q58" s="36">
        <f t="shared" si="52"/>
        <v>0.18355016688236492</v>
      </c>
      <c r="R58" s="36">
        <f t="shared" si="52"/>
        <v>0.24123449584123757</v>
      </c>
      <c r="S58" s="45"/>
      <c r="T58" s="45"/>
      <c r="U58" s="38" t="s">
        <v>146</v>
      </c>
      <c r="V58" s="38" t="s">
        <v>146</v>
      </c>
      <c r="W58" s="38" t="str">
        <f t="shared" ref="W58:AB58" si="53">IF(AND(ISNUMBER(W56),ISNUMBER(V56)),W56+V56,"n/a")</f>
        <v>n/a</v>
      </c>
      <c r="X58" s="38">
        <f t="shared" si="53"/>
        <v>0.17140721279740045</v>
      </c>
      <c r="Y58" s="38">
        <f t="shared" si="53"/>
        <v>0.22380247138058018</v>
      </c>
      <c r="Z58" s="38">
        <f t="shared" si="53"/>
        <v>0.26564708904022205</v>
      </c>
      <c r="AA58" s="38">
        <f t="shared" si="53"/>
        <v>0.24563984832453434</v>
      </c>
      <c r="AB58" s="38">
        <f t="shared" si="53"/>
        <v>0.24250429006611607</v>
      </c>
      <c r="AC58" s="45"/>
      <c r="AD58" s="45"/>
    </row>
    <row r="60" spans="1:30">
      <c r="A60" s="34" t="s">
        <v>196</v>
      </c>
      <c r="B60" s="45" t="s">
        <v>142</v>
      </c>
      <c r="C60" s="35">
        <v>56</v>
      </c>
      <c r="D60" s="35">
        <v>56</v>
      </c>
      <c r="E60" s="35">
        <v>56</v>
      </c>
      <c r="F60" s="35">
        <v>56</v>
      </c>
      <c r="G60" s="35">
        <v>52</v>
      </c>
      <c r="H60" s="35">
        <v>51</v>
      </c>
      <c r="I60" s="35">
        <v>50</v>
      </c>
      <c r="J60" s="35">
        <v>50</v>
      </c>
      <c r="K60" s="35">
        <v>52</v>
      </c>
      <c r="L60" s="35">
        <v>52</v>
      </c>
      <c r="M60" s="35">
        <v>53.3</v>
      </c>
      <c r="N60" s="35">
        <v>53.9</v>
      </c>
      <c r="O60" s="35">
        <v>52.9</v>
      </c>
      <c r="P60" s="35">
        <v>54.7</v>
      </c>
      <c r="Q60" s="35">
        <v>54.6</v>
      </c>
      <c r="R60" s="35">
        <v>55</v>
      </c>
      <c r="S60" s="45"/>
      <c r="T60" s="45"/>
      <c r="U60" s="39" t="s">
        <v>146</v>
      </c>
      <c r="V60" s="35">
        <v>224</v>
      </c>
      <c r="W60" s="35">
        <v>204</v>
      </c>
      <c r="X60" s="35">
        <v>210.5</v>
      </c>
      <c r="Y60" s="35">
        <v>219.2</v>
      </c>
      <c r="Z60" s="35">
        <v>233.1</v>
      </c>
      <c r="AA60" s="35">
        <v>248.2</v>
      </c>
      <c r="AB60" s="35">
        <v>256.7</v>
      </c>
      <c r="AC60" s="45"/>
      <c r="AD60" s="2" t="s">
        <v>197</v>
      </c>
    </row>
    <row r="61" spans="1:30">
      <c r="A61" s="45" t="s">
        <v>198</v>
      </c>
      <c r="B61" s="45" t="s">
        <v>145</v>
      </c>
      <c r="C61" s="36" t="s">
        <v>146</v>
      </c>
      <c r="D61" s="36" t="s">
        <v>146</v>
      </c>
      <c r="E61" s="36" t="s">
        <v>146</v>
      </c>
      <c r="F61" s="36" t="s">
        <v>146</v>
      </c>
      <c r="G61" s="36">
        <f t="shared" ref="G61:R61" si="54">IF(AND(ISNUMBER(G60),ISNUMBER(C60)),G60/C60-1,"n/a")</f>
        <v>-7.1428571428571397E-2</v>
      </c>
      <c r="H61" s="36">
        <f t="shared" si="54"/>
        <v>-8.9285714285714302E-2</v>
      </c>
      <c r="I61" s="36">
        <f t="shared" si="54"/>
        <v>-0.1071428571428571</v>
      </c>
      <c r="J61" s="36">
        <f t="shared" si="54"/>
        <v>-0.1071428571428571</v>
      </c>
      <c r="K61" s="36">
        <f t="shared" si="54"/>
        <v>0</v>
      </c>
      <c r="L61" s="36">
        <f t="shared" si="54"/>
        <v>1.9607843137254832E-2</v>
      </c>
      <c r="M61" s="36">
        <f t="shared" si="54"/>
        <v>6.5999999999999837E-2</v>
      </c>
      <c r="N61" s="36">
        <f t="shared" si="54"/>
        <v>7.8000000000000069E-2</v>
      </c>
      <c r="O61" s="36">
        <f t="shared" si="54"/>
        <v>1.7307692307692246E-2</v>
      </c>
      <c r="P61" s="36">
        <f t="shared" si="54"/>
        <v>5.1923076923076961E-2</v>
      </c>
      <c r="Q61" s="36">
        <f t="shared" si="54"/>
        <v>2.4390243902439046E-2</v>
      </c>
      <c r="R61" s="36">
        <f t="shared" si="54"/>
        <v>2.0408163265306145E-2</v>
      </c>
      <c r="S61" s="45"/>
      <c r="T61" s="45"/>
      <c r="U61" s="38" t="s">
        <v>146</v>
      </c>
      <c r="V61" s="38" t="str">
        <f t="shared" ref="V61:AB61" si="55">IF(AND(ISNUMBER(V60),ISNUMBER(U60)),V60/U60-1,"n/a")</f>
        <v>n/a</v>
      </c>
      <c r="W61" s="38">
        <f t="shared" si="55"/>
        <v>-8.9285714285714302E-2</v>
      </c>
      <c r="X61" s="38">
        <f t="shared" si="55"/>
        <v>3.1862745098039325E-2</v>
      </c>
      <c r="Y61" s="38">
        <f t="shared" si="55"/>
        <v>4.1330166270783897E-2</v>
      </c>
      <c r="Z61" s="38">
        <f t="shared" si="55"/>
        <v>6.3412408759124128E-2</v>
      </c>
      <c r="AA61" s="38">
        <f t="shared" si="55"/>
        <v>6.4779064779064699E-2</v>
      </c>
      <c r="AB61" s="38">
        <f t="shared" si="55"/>
        <v>3.4246575342465668E-2</v>
      </c>
      <c r="AC61" s="45"/>
      <c r="AD61" s="45"/>
    </row>
    <row r="62" spans="1:30">
      <c r="A62" s="45" t="s">
        <v>199</v>
      </c>
      <c r="B62" s="45" t="s">
        <v>148</v>
      </c>
      <c r="C62" s="36" t="s">
        <v>146</v>
      </c>
      <c r="D62" s="36">
        <f t="shared" ref="D62:R62" si="56">IF(AND(ISNUMBER(D60),ISNUMBER(C60)),D60/C60-1,"n/a")</f>
        <v>0</v>
      </c>
      <c r="E62" s="36">
        <f t="shared" si="56"/>
        <v>0</v>
      </c>
      <c r="F62" s="36">
        <f t="shared" si="56"/>
        <v>0</v>
      </c>
      <c r="G62" s="36">
        <f t="shared" si="56"/>
        <v>-7.1428571428571397E-2</v>
      </c>
      <c r="H62" s="36">
        <f t="shared" si="56"/>
        <v>-1.9230769230769273E-2</v>
      </c>
      <c r="I62" s="36">
        <f t="shared" si="56"/>
        <v>-1.9607843137254943E-2</v>
      </c>
      <c r="J62" s="36">
        <f t="shared" si="56"/>
        <v>0</v>
      </c>
      <c r="K62" s="36">
        <f t="shared" si="56"/>
        <v>4.0000000000000036E-2</v>
      </c>
      <c r="L62" s="36">
        <f t="shared" si="56"/>
        <v>0</v>
      </c>
      <c r="M62" s="36">
        <f t="shared" si="56"/>
        <v>2.4999999999999911E-2</v>
      </c>
      <c r="N62" s="36">
        <f t="shared" si="56"/>
        <v>1.1257035647279645E-2</v>
      </c>
      <c r="O62" s="36">
        <f t="shared" si="56"/>
        <v>-1.8552875695732829E-2</v>
      </c>
      <c r="P62" s="36">
        <f t="shared" si="56"/>
        <v>3.402646502835549E-2</v>
      </c>
      <c r="Q62" s="36">
        <f t="shared" si="56"/>
        <v>-1.8281535648995151E-3</v>
      </c>
      <c r="R62" s="36">
        <f t="shared" si="56"/>
        <v>7.3260073260073E-3</v>
      </c>
      <c r="S62" s="45"/>
      <c r="T62" s="45"/>
      <c r="U62" s="38" t="s">
        <v>146</v>
      </c>
      <c r="V62" s="38" t="s">
        <v>146</v>
      </c>
      <c r="W62" s="38" t="s">
        <v>146</v>
      </c>
      <c r="X62" s="38" t="s">
        <v>146</v>
      </c>
      <c r="Y62" s="38" t="s">
        <v>146</v>
      </c>
      <c r="Z62" s="38" t="s">
        <v>146</v>
      </c>
      <c r="AA62" s="38" t="s">
        <v>146</v>
      </c>
      <c r="AB62" s="38" t="s">
        <v>146</v>
      </c>
      <c r="AC62" s="45"/>
      <c r="AD62" s="45"/>
    </row>
    <row r="63" spans="1:30">
      <c r="A63" s="45" t="s">
        <v>200</v>
      </c>
      <c r="B63" s="45" t="s">
        <v>150</v>
      </c>
      <c r="C63" s="36" t="s">
        <v>146</v>
      </c>
      <c r="D63" s="36" t="s">
        <v>146</v>
      </c>
      <c r="E63" s="36" t="s">
        <v>146</v>
      </c>
      <c r="F63" s="36" t="s">
        <v>146</v>
      </c>
      <c r="G63" s="36" t="str">
        <f t="shared" ref="G63:R63" si="57">IF(AND(ISNUMBER(G61),ISNUMBER(C61)),G61+C61,"n/a")</f>
        <v>n/a</v>
      </c>
      <c r="H63" s="36" t="str">
        <f t="shared" si="57"/>
        <v>n/a</v>
      </c>
      <c r="I63" s="36" t="str">
        <f t="shared" si="57"/>
        <v>n/a</v>
      </c>
      <c r="J63" s="36" t="str">
        <f t="shared" si="57"/>
        <v>n/a</v>
      </c>
      <c r="K63" s="36">
        <f t="shared" si="57"/>
        <v>-7.1428571428571397E-2</v>
      </c>
      <c r="L63" s="36">
        <f t="shared" si="57"/>
        <v>-6.9677871148459469E-2</v>
      </c>
      <c r="M63" s="36">
        <f t="shared" si="57"/>
        <v>-4.1142857142857259E-2</v>
      </c>
      <c r="N63" s="36">
        <f t="shared" si="57"/>
        <v>-2.9142857142857026E-2</v>
      </c>
      <c r="O63" s="36">
        <f t="shared" si="57"/>
        <v>1.7307692307692246E-2</v>
      </c>
      <c r="P63" s="36">
        <f t="shared" si="57"/>
        <v>7.1530920060331793E-2</v>
      </c>
      <c r="Q63" s="36">
        <f t="shared" si="57"/>
        <v>9.0390243902438883E-2</v>
      </c>
      <c r="R63" s="36">
        <f t="shared" si="57"/>
        <v>9.8408163265306214E-2</v>
      </c>
      <c r="S63" s="45"/>
      <c r="T63" s="45"/>
      <c r="U63" s="38" t="s">
        <v>146</v>
      </c>
      <c r="V63" s="38" t="s">
        <v>146</v>
      </c>
      <c r="W63" s="38" t="str">
        <f t="shared" ref="W63:AB63" si="58">IF(AND(ISNUMBER(W61),ISNUMBER(V61)),W61+V61,"n/a")</f>
        <v>n/a</v>
      </c>
      <c r="X63" s="38">
        <f t="shared" si="58"/>
        <v>-5.7422969187674977E-2</v>
      </c>
      <c r="Y63" s="38">
        <f t="shared" si="58"/>
        <v>7.3192911368823221E-2</v>
      </c>
      <c r="Z63" s="38">
        <f t="shared" si="58"/>
        <v>0.10474257502990802</v>
      </c>
      <c r="AA63" s="38">
        <f t="shared" si="58"/>
        <v>0.12819147353818883</v>
      </c>
      <c r="AB63" s="38">
        <f t="shared" si="58"/>
        <v>9.9025640121530367E-2</v>
      </c>
      <c r="AC63" s="45"/>
      <c r="AD63" s="45"/>
    </row>
    <row r="65" spans="1:30">
      <c r="A65" s="34" t="s">
        <v>201</v>
      </c>
      <c r="B65" s="45" t="s">
        <v>142</v>
      </c>
      <c r="C65" s="35">
        <v>156</v>
      </c>
      <c r="D65" s="35">
        <v>174</v>
      </c>
      <c r="E65" s="35">
        <v>181</v>
      </c>
      <c r="F65" s="35">
        <v>152</v>
      </c>
      <c r="G65" s="35">
        <v>154</v>
      </c>
      <c r="H65" s="35">
        <v>187</v>
      </c>
      <c r="I65" s="35">
        <v>206</v>
      </c>
      <c r="J65" s="35">
        <v>208</v>
      </c>
      <c r="K65" s="35">
        <v>177</v>
      </c>
      <c r="L65" s="35">
        <v>200</v>
      </c>
      <c r="M65" s="35">
        <v>207.1</v>
      </c>
      <c r="N65" s="35">
        <v>235.1</v>
      </c>
      <c r="O65" s="35">
        <v>202.9</v>
      </c>
      <c r="P65" s="35">
        <v>227.8</v>
      </c>
      <c r="Q65" s="35">
        <v>239.9</v>
      </c>
      <c r="R65" s="35">
        <v>263.60000000000002</v>
      </c>
      <c r="S65" s="45"/>
      <c r="T65" s="45"/>
      <c r="U65" s="39" t="s">
        <v>146</v>
      </c>
      <c r="V65" s="35">
        <v>663</v>
      </c>
      <c r="W65" s="35">
        <v>756</v>
      </c>
      <c r="X65" s="35">
        <v>821</v>
      </c>
      <c r="Y65" s="35">
        <v>936.4</v>
      </c>
      <c r="Z65" s="35">
        <v>1073.2</v>
      </c>
      <c r="AA65" s="35">
        <v>1221.9000000000001</v>
      </c>
      <c r="AB65" s="35">
        <v>1441</v>
      </c>
      <c r="AC65" s="45"/>
      <c r="AD65" s="45"/>
    </row>
    <row r="66" spans="1:30">
      <c r="A66" s="45" t="s">
        <v>202</v>
      </c>
      <c r="B66" s="45" t="s">
        <v>145</v>
      </c>
      <c r="C66" s="36" t="s">
        <v>146</v>
      </c>
      <c r="D66" s="36" t="s">
        <v>146</v>
      </c>
      <c r="E66" s="36" t="s">
        <v>146</v>
      </c>
      <c r="F66" s="36" t="s">
        <v>146</v>
      </c>
      <c r="G66" s="36">
        <f t="shared" ref="G66:R66" si="59">IF(AND(ISNUMBER(G65),ISNUMBER(C65)),G65/C65-1,"n/a")</f>
        <v>-1.2820512820512775E-2</v>
      </c>
      <c r="H66" s="36">
        <f t="shared" si="59"/>
        <v>7.4712643678160884E-2</v>
      </c>
      <c r="I66" s="36">
        <f t="shared" si="59"/>
        <v>0.13812154696132595</v>
      </c>
      <c r="J66" s="36">
        <f t="shared" si="59"/>
        <v>0.36842105263157898</v>
      </c>
      <c r="K66" s="36">
        <f t="shared" si="59"/>
        <v>0.14935064935064934</v>
      </c>
      <c r="L66" s="36">
        <f t="shared" si="59"/>
        <v>6.9518716577540163E-2</v>
      </c>
      <c r="M66" s="36">
        <f t="shared" si="59"/>
        <v>5.3398058252427383E-3</v>
      </c>
      <c r="N66" s="36">
        <f t="shared" si="59"/>
        <v>0.13028846153846141</v>
      </c>
      <c r="O66" s="36">
        <f t="shared" si="59"/>
        <v>0.14632768361581916</v>
      </c>
      <c r="P66" s="36">
        <f t="shared" si="59"/>
        <v>0.13900000000000001</v>
      </c>
      <c r="Q66" s="36">
        <f t="shared" si="59"/>
        <v>0.15837759536455831</v>
      </c>
      <c r="R66" s="36">
        <f t="shared" si="59"/>
        <v>0.12122501063377289</v>
      </c>
      <c r="S66" s="45"/>
      <c r="T66" s="45"/>
      <c r="U66" s="38" t="s">
        <v>146</v>
      </c>
      <c r="V66" s="38" t="str">
        <f t="shared" ref="V66:AB66" si="60">IF(AND(ISNUMBER(V65),ISNUMBER(U65)),V65/U65-1,"n/a")</f>
        <v>n/a</v>
      </c>
      <c r="W66" s="38">
        <f t="shared" si="60"/>
        <v>0.14027149321266963</v>
      </c>
      <c r="X66" s="38">
        <f t="shared" si="60"/>
        <v>8.5978835978836043E-2</v>
      </c>
      <c r="Y66" s="38">
        <f t="shared" si="60"/>
        <v>0.14056029232643108</v>
      </c>
      <c r="Z66" s="38">
        <f t="shared" si="60"/>
        <v>0.14609141392567282</v>
      </c>
      <c r="AA66" s="38">
        <f t="shared" si="60"/>
        <v>0.13855758479314195</v>
      </c>
      <c r="AB66" s="38">
        <f t="shared" si="60"/>
        <v>0.17931090923970849</v>
      </c>
      <c r="AC66" s="45"/>
      <c r="AD66" s="45"/>
    </row>
    <row r="67" spans="1:30">
      <c r="A67" s="45" t="s">
        <v>203</v>
      </c>
      <c r="B67" s="45" t="s">
        <v>148</v>
      </c>
      <c r="C67" s="36" t="s">
        <v>146</v>
      </c>
      <c r="D67" s="36">
        <f t="shared" ref="D67:R67" si="61">IF(AND(ISNUMBER(D65),ISNUMBER(C65)),D65/C65-1,"n/a")</f>
        <v>0.11538461538461542</v>
      </c>
      <c r="E67" s="36">
        <f t="shared" si="61"/>
        <v>4.022988505747116E-2</v>
      </c>
      <c r="F67" s="36">
        <f t="shared" si="61"/>
        <v>-0.16022099447513816</v>
      </c>
      <c r="G67" s="36">
        <f t="shared" si="61"/>
        <v>1.3157894736842035E-2</v>
      </c>
      <c r="H67" s="36">
        <f t="shared" si="61"/>
        <v>0.21428571428571419</v>
      </c>
      <c r="I67" s="36">
        <f t="shared" si="61"/>
        <v>0.10160427807486627</v>
      </c>
      <c r="J67" s="36">
        <f t="shared" si="61"/>
        <v>9.7087378640776656E-3</v>
      </c>
      <c r="K67" s="36">
        <f t="shared" si="61"/>
        <v>-0.14903846153846156</v>
      </c>
      <c r="L67" s="36">
        <f t="shared" si="61"/>
        <v>0.12994350282485878</v>
      </c>
      <c r="M67" s="36">
        <f t="shared" si="61"/>
        <v>3.5499999999999865E-2</v>
      </c>
      <c r="N67" s="36">
        <f t="shared" si="61"/>
        <v>0.13520038628681808</v>
      </c>
      <c r="O67" s="36">
        <f t="shared" si="61"/>
        <v>-0.13696299447043803</v>
      </c>
      <c r="P67" s="36">
        <f t="shared" si="61"/>
        <v>0.12272055199605725</v>
      </c>
      <c r="Q67" s="36">
        <f t="shared" si="61"/>
        <v>5.3116769095697958E-2</v>
      </c>
      <c r="R67" s="36">
        <f t="shared" si="61"/>
        <v>9.8791162984577019E-2</v>
      </c>
      <c r="S67" s="45"/>
      <c r="T67" s="45"/>
      <c r="U67" s="38" t="s">
        <v>146</v>
      </c>
      <c r="V67" s="38" t="s">
        <v>146</v>
      </c>
      <c r="W67" s="38" t="s">
        <v>146</v>
      </c>
      <c r="X67" s="38" t="s">
        <v>146</v>
      </c>
      <c r="Y67" s="38" t="s">
        <v>146</v>
      </c>
      <c r="Z67" s="38" t="s">
        <v>146</v>
      </c>
      <c r="AA67" s="38" t="s">
        <v>146</v>
      </c>
      <c r="AB67" s="38" t="s">
        <v>146</v>
      </c>
      <c r="AC67" s="45"/>
      <c r="AD67" s="45"/>
    </row>
    <row r="68" spans="1:30">
      <c r="A68" s="45" t="s">
        <v>204</v>
      </c>
      <c r="B68" s="45" t="s">
        <v>150</v>
      </c>
      <c r="C68" s="36" t="s">
        <v>146</v>
      </c>
      <c r="D68" s="36" t="s">
        <v>146</v>
      </c>
      <c r="E68" s="36" t="s">
        <v>146</v>
      </c>
      <c r="F68" s="36" t="s">
        <v>146</v>
      </c>
      <c r="G68" s="36" t="str">
        <f t="shared" ref="G68:R68" si="62">IF(AND(ISNUMBER(G66),ISNUMBER(C66)),G66+C66,"n/a")</f>
        <v>n/a</v>
      </c>
      <c r="H68" s="36" t="str">
        <f t="shared" si="62"/>
        <v>n/a</v>
      </c>
      <c r="I68" s="36" t="str">
        <f t="shared" si="62"/>
        <v>n/a</v>
      </c>
      <c r="J68" s="36" t="str">
        <f t="shared" si="62"/>
        <v>n/a</v>
      </c>
      <c r="K68" s="36">
        <f t="shared" si="62"/>
        <v>0.13653013653013657</v>
      </c>
      <c r="L68" s="36">
        <f t="shared" si="62"/>
        <v>0.14423136025570105</v>
      </c>
      <c r="M68" s="36">
        <f t="shared" si="62"/>
        <v>0.14346135278656869</v>
      </c>
      <c r="N68" s="36">
        <f t="shared" si="62"/>
        <v>0.49870951417004039</v>
      </c>
      <c r="O68" s="36">
        <f t="shared" si="62"/>
        <v>0.2956783329664685</v>
      </c>
      <c r="P68" s="36">
        <f t="shared" si="62"/>
        <v>0.20851871657754018</v>
      </c>
      <c r="Q68" s="36">
        <f t="shared" si="62"/>
        <v>0.16371740118980105</v>
      </c>
      <c r="R68" s="36">
        <f t="shared" si="62"/>
        <v>0.2515134721722343</v>
      </c>
      <c r="S68" s="45"/>
      <c r="T68" s="45"/>
      <c r="U68" s="38" t="s">
        <v>146</v>
      </c>
      <c r="V68" s="38" t="s">
        <v>146</v>
      </c>
      <c r="W68" s="38" t="str">
        <f t="shared" ref="W68:AB68" si="63">IF(AND(ISNUMBER(W66),ISNUMBER(V66)),W66+V66,"n/a")</f>
        <v>n/a</v>
      </c>
      <c r="X68" s="38">
        <f t="shared" si="63"/>
        <v>0.22625032919150567</v>
      </c>
      <c r="Y68" s="38">
        <f t="shared" si="63"/>
        <v>0.22653912830526712</v>
      </c>
      <c r="Z68" s="38">
        <f t="shared" si="63"/>
        <v>0.2866517062521039</v>
      </c>
      <c r="AA68" s="38">
        <f t="shared" si="63"/>
        <v>0.28464899871881477</v>
      </c>
      <c r="AB68" s="38">
        <f t="shared" si="63"/>
        <v>0.31786849403285045</v>
      </c>
      <c r="AC68" s="45"/>
      <c r="AD68" s="45"/>
    </row>
    <row r="70" spans="1:30">
      <c r="A70" s="34" t="s">
        <v>205</v>
      </c>
      <c r="B70" s="45" t="s">
        <v>142</v>
      </c>
      <c r="C70" s="35">
        <v>236</v>
      </c>
      <c r="D70" s="35">
        <v>241</v>
      </c>
      <c r="E70" s="35">
        <v>249</v>
      </c>
      <c r="F70" s="35">
        <v>255</v>
      </c>
      <c r="G70" s="35">
        <v>241</v>
      </c>
      <c r="H70" s="35">
        <v>243</v>
      </c>
      <c r="I70" s="35">
        <v>228</v>
      </c>
      <c r="J70" s="35">
        <v>238</v>
      </c>
      <c r="K70" s="35">
        <v>239</v>
      </c>
      <c r="L70" s="35">
        <v>252</v>
      </c>
      <c r="M70" s="35">
        <v>246.5</v>
      </c>
      <c r="N70" s="35">
        <v>249.2</v>
      </c>
      <c r="O70" s="35">
        <v>246.1</v>
      </c>
      <c r="P70" s="35">
        <v>258.7</v>
      </c>
      <c r="Q70" s="35">
        <v>254.8</v>
      </c>
      <c r="R70" s="35">
        <v>258.2</v>
      </c>
      <c r="S70" s="45"/>
      <c r="T70" s="45"/>
      <c r="U70" s="39" t="s">
        <v>146</v>
      </c>
      <c r="V70" s="35">
        <v>982</v>
      </c>
      <c r="W70" s="35">
        <v>950</v>
      </c>
      <c r="X70" s="35">
        <v>984.2</v>
      </c>
      <c r="Y70" s="35">
        <v>1020</v>
      </c>
      <c r="Z70" s="35">
        <v>1059.2</v>
      </c>
      <c r="AA70" s="35">
        <v>1098.7</v>
      </c>
      <c r="AB70" s="35">
        <v>1095.8</v>
      </c>
      <c r="AC70" s="45"/>
      <c r="AD70" s="45"/>
    </row>
    <row r="71" spans="1:30">
      <c r="A71" s="45" t="s">
        <v>206</v>
      </c>
      <c r="B71" s="45" t="s">
        <v>145</v>
      </c>
      <c r="C71" s="36" t="s">
        <v>146</v>
      </c>
      <c r="D71" s="36" t="s">
        <v>146</v>
      </c>
      <c r="E71" s="36" t="s">
        <v>146</v>
      </c>
      <c r="F71" s="36" t="s">
        <v>146</v>
      </c>
      <c r="G71" s="36">
        <f t="shared" ref="G71:R71" si="64">IF(AND(ISNUMBER(G70),ISNUMBER(C70)),G70/C70-1,"n/a")</f>
        <v>2.1186440677966045E-2</v>
      </c>
      <c r="H71" s="36">
        <f t="shared" si="64"/>
        <v>8.2987551867219622E-3</v>
      </c>
      <c r="I71" s="36">
        <f t="shared" si="64"/>
        <v>-8.4337349397590411E-2</v>
      </c>
      <c r="J71" s="36">
        <f t="shared" si="64"/>
        <v>-6.6666666666666652E-2</v>
      </c>
      <c r="K71" s="36">
        <f t="shared" si="64"/>
        <v>-8.2987551867219622E-3</v>
      </c>
      <c r="L71" s="36">
        <f t="shared" si="64"/>
        <v>3.7037037037036979E-2</v>
      </c>
      <c r="M71" s="36">
        <f t="shared" si="64"/>
        <v>8.1140350877193068E-2</v>
      </c>
      <c r="N71" s="36">
        <f t="shared" si="64"/>
        <v>4.705882352941182E-2</v>
      </c>
      <c r="O71" s="36">
        <f t="shared" si="64"/>
        <v>2.970711297071138E-2</v>
      </c>
      <c r="P71" s="36">
        <f t="shared" si="64"/>
        <v>2.6587301587301493E-2</v>
      </c>
      <c r="Q71" s="36">
        <f t="shared" si="64"/>
        <v>3.3671399594320528E-2</v>
      </c>
      <c r="R71" s="36">
        <f t="shared" si="64"/>
        <v>3.6115569823435001E-2</v>
      </c>
      <c r="S71" s="45"/>
      <c r="T71" s="45"/>
      <c r="U71" s="38" t="s">
        <v>146</v>
      </c>
      <c r="V71" s="38" t="str">
        <f t="shared" ref="V71:AB71" si="65">IF(AND(ISNUMBER(V70),ISNUMBER(U70)),V70/U70-1,"n/a")</f>
        <v>n/a</v>
      </c>
      <c r="W71" s="38">
        <f t="shared" si="65"/>
        <v>-3.258655804480648E-2</v>
      </c>
      <c r="X71" s="38">
        <f t="shared" si="65"/>
        <v>3.6000000000000032E-2</v>
      </c>
      <c r="Y71" s="38">
        <f t="shared" si="65"/>
        <v>3.6374720585246934E-2</v>
      </c>
      <c r="Z71" s="38">
        <f t="shared" si="65"/>
        <v>3.8431372549019738E-2</v>
      </c>
      <c r="AA71" s="38">
        <f t="shared" si="65"/>
        <v>3.7292296072507503E-2</v>
      </c>
      <c r="AB71" s="38">
        <f t="shared" si="65"/>
        <v>-2.6394830253937407E-3</v>
      </c>
      <c r="AC71" s="45"/>
      <c r="AD71" s="45"/>
    </row>
    <row r="72" spans="1:30">
      <c r="A72" s="45" t="s">
        <v>207</v>
      </c>
      <c r="B72" s="45" t="s">
        <v>148</v>
      </c>
      <c r="C72" s="36" t="s">
        <v>146</v>
      </c>
      <c r="D72" s="36">
        <f t="shared" ref="D72:R72" si="66">IF(AND(ISNUMBER(D70),ISNUMBER(C70)),D70/C70-1,"n/a")</f>
        <v>2.1186440677966045E-2</v>
      </c>
      <c r="E72" s="36">
        <f t="shared" si="66"/>
        <v>3.3195020746888071E-2</v>
      </c>
      <c r="F72" s="36">
        <f t="shared" si="66"/>
        <v>2.4096385542168752E-2</v>
      </c>
      <c r="G72" s="36">
        <f t="shared" si="66"/>
        <v>-5.4901960784313752E-2</v>
      </c>
      <c r="H72" s="36">
        <f t="shared" si="66"/>
        <v>8.2987551867219622E-3</v>
      </c>
      <c r="I72" s="36">
        <f t="shared" si="66"/>
        <v>-6.1728395061728447E-2</v>
      </c>
      <c r="J72" s="36">
        <f t="shared" si="66"/>
        <v>4.3859649122806932E-2</v>
      </c>
      <c r="K72" s="36">
        <f t="shared" si="66"/>
        <v>4.2016806722688926E-3</v>
      </c>
      <c r="L72" s="36">
        <f t="shared" si="66"/>
        <v>5.439330543933063E-2</v>
      </c>
      <c r="M72" s="36">
        <f t="shared" si="66"/>
        <v>-2.1825396825396859E-2</v>
      </c>
      <c r="N72" s="36">
        <f t="shared" si="66"/>
        <v>1.0953346855983703E-2</v>
      </c>
      <c r="O72" s="36">
        <f t="shared" si="66"/>
        <v>-1.2439807383627599E-2</v>
      </c>
      <c r="P72" s="36">
        <f t="shared" si="66"/>
        <v>5.1198699715562679E-2</v>
      </c>
      <c r="Q72" s="36">
        <f t="shared" si="66"/>
        <v>-1.5075376884422065E-2</v>
      </c>
      <c r="R72" s="36">
        <f t="shared" si="66"/>
        <v>1.3343799058084693E-2</v>
      </c>
      <c r="S72" s="45"/>
      <c r="T72" s="45"/>
      <c r="U72" s="38" t="s">
        <v>146</v>
      </c>
      <c r="V72" s="38" t="s">
        <v>146</v>
      </c>
      <c r="W72" s="38" t="s">
        <v>146</v>
      </c>
      <c r="X72" s="38" t="s">
        <v>146</v>
      </c>
      <c r="Y72" s="38" t="s">
        <v>146</v>
      </c>
      <c r="Z72" s="38" t="s">
        <v>146</v>
      </c>
      <c r="AA72" s="38" t="s">
        <v>146</v>
      </c>
      <c r="AB72" s="38" t="s">
        <v>146</v>
      </c>
      <c r="AC72" s="45"/>
      <c r="AD72" s="45"/>
    </row>
    <row r="73" spans="1:30">
      <c r="A73" s="45" t="s">
        <v>208</v>
      </c>
      <c r="B73" s="45" t="s">
        <v>150</v>
      </c>
      <c r="C73" s="36" t="s">
        <v>146</v>
      </c>
      <c r="D73" s="36" t="s">
        <v>146</v>
      </c>
      <c r="E73" s="36" t="s">
        <v>146</v>
      </c>
      <c r="F73" s="36" t="s">
        <v>146</v>
      </c>
      <c r="G73" s="36" t="str">
        <f t="shared" ref="G73:R73" si="67">IF(AND(ISNUMBER(G71),ISNUMBER(C71)),G71+C71,"n/a")</f>
        <v>n/a</v>
      </c>
      <c r="H73" s="36" t="str">
        <f t="shared" si="67"/>
        <v>n/a</v>
      </c>
      <c r="I73" s="36" t="str">
        <f t="shared" si="67"/>
        <v>n/a</v>
      </c>
      <c r="J73" s="36" t="str">
        <f t="shared" si="67"/>
        <v>n/a</v>
      </c>
      <c r="K73" s="36">
        <f t="shared" si="67"/>
        <v>1.2887685491244083E-2</v>
      </c>
      <c r="L73" s="36">
        <f t="shared" si="67"/>
        <v>4.5335792223758942E-2</v>
      </c>
      <c r="M73" s="36">
        <f t="shared" si="67"/>
        <v>-3.1969985203973428E-3</v>
      </c>
      <c r="N73" s="36">
        <f t="shared" si="67"/>
        <v>-1.9607843137254832E-2</v>
      </c>
      <c r="O73" s="36">
        <f t="shared" si="67"/>
        <v>2.1408357783989418E-2</v>
      </c>
      <c r="P73" s="36">
        <f t="shared" si="67"/>
        <v>6.3624338624338472E-2</v>
      </c>
      <c r="Q73" s="36">
        <f t="shared" si="67"/>
        <v>0.1148117504715136</v>
      </c>
      <c r="R73" s="36">
        <f t="shared" si="67"/>
        <v>8.317439335284682E-2</v>
      </c>
      <c r="S73" s="45"/>
      <c r="T73" s="45"/>
      <c r="U73" s="38" t="s">
        <v>146</v>
      </c>
      <c r="V73" s="38" t="s">
        <v>146</v>
      </c>
      <c r="W73" s="38" t="str">
        <f t="shared" ref="W73:AB73" si="68">IF(AND(ISNUMBER(W71),ISNUMBER(V71)),W71+V71,"n/a")</f>
        <v>n/a</v>
      </c>
      <c r="X73" s="38">
        <f t="shared" si="68"/>
        <v>3.4134419551935524E-3</v>
      </c>
      <c r="Y73" s="38">
        <f t="shared" si="68"/>
        <v>7.2374720585246965E-2</v>
      </c>
      <c r="Z73" s="38">
        <f t="shared" si="68"/>
        <v>7.4806093134266671E-2</v>
      </c>
      <c r="AA73" s="38">
        <f t="shared" si="68"/>
        <v>7.572366862152724E-2</v>
      </c>
      <c r="AB73" s="38">
        <f t="shared" si="68"/>
        <v>3.4652813047113762E-2</v>
      </c>
      <c r="AC73" s="45"/>
      <c r="AD73" s="45"/>
    </row>
    <row r="75" spans="1:30">
      <c r="A75" s="34" t="s">
        <v>209</v>
      </c>
      <c r="B75" s="45" t="s">
        <v>142</v>
      </c>
      <c r="C75" s="35">
        <v>254</v>
      </c>
      <c r="D75" s="35">
        <v>275</v>
      </c>
      <c r="E75" s="35">
        <v>268</v>
      </c>
      <c r="F75" s="35">
        <v>271</v>
      </c>
      <c r="G75" s="35">
        <v>248</v>
      </c>
      <c r="H75" s="35">
        <v>241</v>
      </c>
      <c r="I75" s="35">
        <v>256</v>
      </c>
      <c r="J75" s="35">
        <v>264</v>
      </c>
      <c r="K75" s="35">
        <v>267</v>
      </c>
      <c r="L75" s="35">
        <v>278</v>
      </c>
      <c r="M75" s="35">
        <v>271</v>
      </c>
      <c r="N75" s="35">
        <v>273</v>
      </c>
      <c r="O75" s="35">
        <v>277.89999999999998</v>
      </c>
      <c r="P75" s="35">
        <v>284</v>
      </c>
      <c r="Q75" s="35">
        <v>280.3</v>
      </c>
      <c r="R75" s="35">
        <v>284.8</v>
      </c>
      <c r="S75" s="45"/>
      <c r="T75" s="45"/>
      <c r="U75" s="39" t="s">
        <v>146</v>
      </c>
      <c r="V75" s="35">
        <v>1069</v>
      </c>
      <c r="W75" s="35">
        <v>1009</v>
      </c>
      <c r="X75" s="35">
        <v>1089.7</v>
      </c>
      <c r="Y75" s="35">
        <v>1121.5</v>
      </c>
      <c r="Z75" s="35">
        <v>1164.5</v>
      </c>
      <c r="AA75" s="35">
        <v>1234.4000000000001</v>
      </c>
      <c r="AB75" s="35">
        <v>1369</v>
      </c>
      <c r="AC75" s="45"/>
      <c r="AD75" s="45"/>
    </row>
    <row r="76" spans="1:30">
      <c r="A76" s="45" t="s">
        <v>210</v>
      </c>
      <c r="B76" s="45" t="s">
        <v>145</v>
      </c>
      <c r="C76" s="36" t="s">
        <v>146</v>
      </c>
      <c r="D76" s="36" t="s">
        <v>146</v>
      </c>
      <c r="E76" s="36" t="s">
        <v>146</v>
      </c>
      <c r="F76" s="36" t="s">
        <v>146</v>
      </c>
      <c r="G76" s="36">
        <f t="shared" ref="G76:R76" si="69">IF(AND(ISNUMBER(G75),ISNUMBER(C75)),G75/C75-1,"n/a")</f>
        <v>-2.3622047244094446E-2</v>
      </c>
      <c r="H76" s="36">
        <f t="shared" si="69"/>
        <v>-0.12363636363636366</v>
      </c>
      <c r="I76" s="36">
        <f t="shared" si="69"/>
        <v>-4.4776119402985093E-2</v>
      </c>
      <c r="J76" s="36">
        <f t="shared" si="69"/>
        <v>-2.5830258302583009E-2</v>
      </c>
      <c r="K76" s="36">
        <f t="shared" si="69"/>
        <v>7.6612903225806495E-2</v>
      </c>
      <c r="L76" s="36">
        <f t="shared" si="69"/>
        <v>0.15352697095435675</v>
      </c>
      <c r="M76" s="36">
        <f t="shared" si="69"/>
        <v>5.859375E-2</v>
      </c>
      <c r="N76" s="36">
        <f t="shared" si="69"/>
        <v>3.4090909090909172E-2</v>
      </c>
      <c r="O76" s="36">
        <f t="shared" si="69"/>
        <v>4.0823970037453083E-2</v>
      </c>
      <c r="P76" s="36">
        <f t="shared" si="69"/>
        <v>2.1582733812949728E-2</v>
      </c>
      <c r="Q76" s="36">
        <f t="shared" si="69"/>
        <v>3.4317343173431825E-2</v>
      </c>
      <c r="R76" s="36">
        <f t="shared" si="69"/>
        <v>4.3223443223443292E-2</v>
      </c>
      <c r="S76" s="45"/>
      <c r="T76" s="45"/>
      <c r="U76" s="38" t="s">
        <v>146</v>
      </c>
      <c r="V76" s="38" t="str">
        <f t="shared" ref="V76:AB76" si="70">IF(AND(ISNUMBER(V75),ISNUMBER(U75)),V75/U75-1,"n/a")</f>
        <v>n/a</v>
      </c>
      <c r="W76" s="38">
        <f t="shared" si="70"/>
        <v>-5.6127221702525709E-2</v>
      </c>
      <c r="X76" s="38">
        <f t="shared" si="70"/>
        <v>7.9980178394450041E-2</v>
      </c>
      <c r="Y76" s="38">
        <f t="shared" si="70"/>
        <v>2.9182343764338814E-2</v>
      </c>
      <c r="Z76" s="38">
        <f t="shared" si="70"/>
        <v>3.8341506910387846E-2</v>
      </c>
      <c r="AA76" s="38">
        <f t="shared" si="70"/>
        <v>6.0025762129669369E-2</v>
      </c>
      <c r="AB76" s="38">
        <f t="shared" si="70"/>
        <v>0.10904082955281913</v>
      </c>
      <c r="AC76" s="45"/>
      <c r="AD76" s="45"/>
    </row>
    <row r="77" spans="1:30">
      <c r="A77" s="45" t="s">
        <v>211</v>
      </c>
      <c r="B77" s="45" t="s">
        <v>148</v>
      </c>
      <c r="C77" s="36" t="s">
        <v>146</v>
      </c>
      <c r="D77" s="36">
        <f t="shared" ref="D77:R77" si="71">IF(AND(ISNUMBER(D75),ISNUMBER(C75)),D75/C75-1,"n/a")</f>
        <v>8.2677165354330784E-2</v>
      </c>
      <c r="E77" s="36">
        <f t="shared" si="71"/>
        <v>-2.5454545454545507E-2</v>
      </c>
      <c r="F77" s="36">
        <f t="shared" si="71"/>
        <v>1.1194029850746245E-2</v>
      </c>
      <c r="G77" s="36">
        <f t="shared" si="71"/>
        <v>-8.4870848708487046E-2</v>
      </c>
      <c r="H77" s="36">
        <f t="shared" si="71"/>
        <v>-2.8225806451612878E-2</v>
      </c>
      <c r="I77" s="36">
        <f t="shared" si="71"/>
        <v>6.2240663900414939E-2</v>
      </c>
      <c r="J77" s="36">
        <f t="shared" si="71"/>
        <v>3.125E-2</v>
      </c>
      <c r="K77" s="36">
        <f t="shared" si="71"/>
        <v>1.1363636363636465E-2</v>
      </c>
      <c r="L77" s="36">
        <f t="shared" si="71"/>
        <v>4.1198501872659277E-2</v>
      </c>
      <c r="M77" s="36">
        <f t="shared" si="71"/>
        <v>-2.5179856115107868E-2</v>
      </c>
      <c r="N77" s="36">
        <f t="shared" si="71"/>
        <v>7.3800738007379074E-3</v>
      </c>
      <c r="O77" s="36">
        <f t="shared" si="71"/>
        <v>1.7948717948717885E-2</v>
      </c>
      <c r="P77" s="36">
        <f t="shared" si="71"/>
        <v>2.195034184958633E-2</v>
      </c>
      <c r="Q77" s="36">
        <f t="shared" si="71"/>
        <v>-1.3028169014084434E-2</v>
      </c>
      <c r="R77" s="36">
        <f t="shared" si="71"/>
        <v>1.6054227613271577E-2</v>
      </c>
      <c r="S77" s="45"/>
      <c r="T77" s="45"/>
      <c r="U77" s="38" t="s">
        <v>146</v>
      </c>
      <c r="V77" s="38" t="s">
        <v>146</v>
      </c>
      <c r="W77" s="38" t="s">
        <v>146</v>
      </c>
      <c r="X77" s="38" t="s">
        <v>146</v>
      </c>
      <c r="Y77" s="38" t="s">
        <v>146</v>
      </c>
      <c r="Z77" s="38" t="s">
        <v>146</v>
      </c>
      <c r="AA77" s="38" t="s">
        <v>146</v>
      </c>
      <c r="AB77" s="38" t="s">
        <v>146</v>
      </c>
      <c r="AC77" s="45"/>
      <c r="AD77" s="45"/>
    </row>
    <row r="78" spans="1:30">
      <c r="A78" s="45" t="s">
        <v>212</v>
      </c>
      <c r="B78" s="45" t="s">
        <v>150</v>
      </c>
      <c r="C78" s="36" t="s">
        <v>146</v>
      </c>
      <c r="D78" s="36" t="s">
        <v>146</v>
      </c>
      <c r="E78" s="36" t="s">
        <v>146</v>
      </c>
      <c r="F78" s="36" t="s">
        <v>146</v>
      </c>
      <c r="G78" s="36" t="str">
        <f t="shared" ref="G78:R78" si="72">IF(AND(ISNUMBER(G76),ISNUMBER(C76)),G76+C76,"n/a")</f>
        <v>n/a</v>
      </c>
      <c r="H78" s="36" t="str">
        <f t="shared" si="72"/>
        <v>n/a</v>
      </c>
      <c r="I78" s="36" t="str">
        <f t="shared" si="72"/>
        <v>n/a</v>
      </c>
      <c r="J78" s="36" t="str">
        <f t="shared" si="72"/>
        <v>n/a</v>
      </c>
      <c r="K78" s="36">
        <f t="shared" si="72"/>
        <v>5.2990855981712048E-2</v>
      </c>
      <c r="L78" s="36">
        <f t="shared" si="72"/>
        <v>2.989060731799309E-2</v>
      </c>
      <c r="M78" s="36">
        <f t="shared" si="72"/>
        <v>1.3817630597014907E-2</v>
      </c>
      <c r="N78" s="36">
        <f t="shared" si="72"/>
        <v>8.2606507883261626E-3</v>
      </c>
      <c r="O78" s="36">
        <f t="shared" si="72"/>
        <v>0.11743687326325958</v>
      </c>
      <c r="P78" s="36">
        <f t="shared" si="72"/>
        <v>0.17510970476730647</v>
      </c>
      <c r="Q78" s="36">
        <f t="shared" si="72"/>
        <v>9.2911093173431825E-2</v>
      </c>
      <c r="R78" s="36">
        <f t="shared" si="72"/>
        <v>7.7314352314352464E-2</v>
      </c>
      <c r="S78" s="45"/>
      <c r="T78" s="45"/>
      <c r="U78" s="38" t="s">
        <v>146</v>
      </c>
      <c r="V78" s="38" t="s">
        <v>146</v>
      </c>
      <c r="W78" s="38" t="str">
        <f t="shared" ref="W78:AB78" si="73">IF(AND(ISNUMBER(W76),ISNUMBER(V76)),W76+V76,"n/a")</f>
        <v>n/a</v>
      </c>
      <c r="X78" s="38">
        <f t="shared" si="73"/>
        <v>2.3852956691924332E-2</v>
      </c>
      <c r="Y78" s="38">
        <f t="shared" si="73"/>
        <v>0.10916252215878886</v>
      </c>
      <c r="Z78" s="38">
        <f t="shared" si="73"/>
        <v>6.752385067472666E-2</v>
      </c>
      <c r="AA78" s="38">
        <f t="shared" si="73"/>
        <v>9.8367269040057215E-2</v>
      </c>
      <c r="AB78" s="38">
        <f t="shared" si="73"/>
        <v>0.1690665916824885</v>
      </c>
      <c r="AC78" s="45"/>
      <c r="AD78" s="45"/>
    </row>
    <row r="80" spans="1:30">
      <c r="A80" s="34" t="s">
        <v>213</v>
      </c>
      <c r="B80" s="45" t="s">
        <v>142</v>
      </c>
      <c r="C80" s="39" t="s">
        <v>146</v>
      </c>
      <c r="D80" s="39" t="s">
        <v>146</v>
      </c>
      <c r="E80" s="39" t="s">
        <v>146</v>
      </c>
      <c r="F80" s="39" t="s">
        <v>146</v>
      </c>
      <c r="G80" s="35">
        <v>73</v>
      </c>
      <c r="H80" s="35">
        <v>69</v>
      </c>
      <c r="I80" s="35">
        <v>70</v>
      </c>
      <c r="J80" s="35">
        <v>63</v>
      </c>
      <c r="K80" s="35">
        <v>60</v>
      </c>
      <c r="L80" s="35">
        <v>73</v>
      </c>
      <c r="M80" s="35">
        <v>74.599999999999994</v>
      </c>
      <c r="N80" s="35">
        <v>73.900000000000006</v>
      </c>
      <c r="O80" s="35">
        <v>78.900000000000006</v>
      </c>
      <c r="P80" s="35">
        <v>73.599999999999994</v>
      </c>
      <c r="Q80" s="35">
        <v>74</v>
      </c>
      <c r="R80" s="35">
        <v>73.3</v>
      </c>
      <c r="S80" s="45"/>
      <c r="T80" s="45"/>
      <c r="U80" s="39" t="s">
        <v>146</v>
      </c>
      <c r="V80" s="39" t="s">
        <v>146</v>
      </c>
      <c r="W80" s="35">
        <v>275</v>
      </c>
      <c r="X80" s="35">
        <v>282</v>
      </c>
      <c r="Y80" s="35">
        <v>295.8</v>
      </c>
      <c r="Z80" s="35">
        <v>311.60000000000002</v>
      </c>
      <c r="AA80" s="35">
        <v>324.39999999999998</v>
      </c>
      <c r="AB80" s="35">
        <v>353.5</v>
      </c>
      <c r="AC80" s="45"/>
      <c r="AD80" s="2" t="s">
        <v>214</v>
      </c>
    </row>
    <row r="81" spans="1:30">
      <c r="A81" s="45" t="s">
        <v>215</v>
      </c>
      <c r="B81" s="45" t="s">
        <v>145</v>
      </c>
      <c r="C81" s="36" t="s">
        <v>146</v>
      </c>
      <c r="D81" s="36" t="s">
        <v>146</v>
      </c>
      <c r="E81" s="36" t="s">
        <v>146</v>
      </c>
      <c r="F81" s="36" t="s">
        <v>146</v>
      </c>
      <c r="G81" s="36" t="str">
        <f t="shared" ref="G81:R81" si="74">IF(AND(ISNUMBER(G80),ISNUMBER(C80)),G80/C80-1,"n/a")</f>
        <v>n/a</v>
      </c>
      <c r="H81" s="36" t="str">
        <f t="shared" si="74"/>
        <v>n/a</v>
      </c>
      <c r="I81" s="36" t="str">
        <f t="shared" si="74"/>
        <v>n/a</v>
      </c>
      <c r="J81" s="36" t="str">
        <f t="shared" si="74"/>
        <v>n/a</v>
      </c>
      <c r="K81" s="36">
        <f t="shared" si="74"/>
        <v>-0.17808219178082196</v>
      </c>
      <c r="L81" s="36">
        <f t="shared" si="74"/>
        <v>5.7971014492753659E-2</v>
      </c>
      <c r="M81" s="36">
        <f t="shared" si="74"/>
        <v>6.5714285714285614E-2</v>
      </c>
      <c r="N81" s="36">
        <f t="shared" si="74"/>
        <v>0.17301587301587307</v>
      </c>
      <c r="O81" s="36">
        <f t="shared" si="74"/>
        <v>0.31500000000000017</v>
      </c>
      <c r="P81" s="36">
        <f t="shared" si="74"/>
        <v>8.219178082191636E-3</v>
      </c>
      <c r="Q81" s="36">
        <f t="shared" si="74"/>
        <v>-8.0428954423591437E-3</v>
      </c>
      <c r="R81" s="36">
        <f t="shared" si="74"/>
        <v>-8.1190798376185036E-3</v>
      </c>
      <c r="S81" s="45"/>
      <c r="T81" s="45"/>
      <c r="U81" s="38" t="s">
        <v>146</v>
      </c>
      <c r="V81" s="38" t="str">
        <f t="shared" ref="V81:AB81" si="75">IF(AND(ISNUMBER(V80),ISNUMBER(U80)),V80/U80-1,"n/a")</f>
        <v>n/a</v>
      </c>
      <c r="W81" s="38" t="str">
        <f t="shared" si="75"/>
        <v>n/a</v>
      </c>
      <c r="X81" s="38">
        <f t="shared" si="75"/>
        <v>2.5454545454545396E-2</v>
      </c>
      <c r="Y81" s="38">
        <f t="shared" si="75"/>
        <v>4.8936170212765973E-2</v>
      </c>
      <c r="Z81" s="38">
        <f t="shared" si="75"/>
        <v>5.3414469235970374E-2</v>
      </c>
      <c r="AA81" s="38">
        <f t="shared" si="75"/>
        <v>4.1078305519897107E-2</v>
      </c>
      <c r="AB81" s="38">
        <f t="shared" si="75"/>
        <v>8.9704069050555058E-2</v>
      </c>
      <c r="AC81" s="45"/>
      <c r="AD81" s="45"/>
    </row>
    <row r="82" spans="1:30">
      <c r="A82" s="45" t="s">
        <v>216</v>
      </c>
      <c r="B82" s="45" t="s">
        <v>148</v>
      </c>
      <c r="C82" s="36" t="s">
        <v>146</v>
      </c>
      <c r="D82" s="36" t="str">
        <f t="shared" ref="D82:R82" si="76">IF(AND(ISNUMBER(D80),ISNUMBER(C80)),D80/C80-1,"n/a")</f>
        <v>n/a</v>
      </c>
      <c r="E82" s="36" t="str">
        <f t="shared" si="76"/>
        <v>n/a</v>
      </c>
      <c r="F82" s="36" t="str">
        <f t="shared" si="76"/>
        <v>n/a</v>
      </c>
      <c r="G82" s="36" t="str">
        <f t="shared" si="76"/>
        <v>n/a</v>
      </c>
      <c r="H82" s="36">
        <f t="shared" si="76"/>
        <v>-5.4794520547945202E-2</v>
      </c>
      <c r="I82" s="36">
        <f t="shared" si="76"/>
        <v>1.449275362318847E-2</v>
      </c>
      <c r="J82" s="36">
        <f t="shared" si="76"/>
        <v>-9.9999999999999978E-2</v>
      </c>
      <c r="K82" s="36">
        <f t="shared" si="76"/>
        <v>-4.7619047619047672E-2</v>
      </c>
      <c r="L82" s="36">
        <f t="shared" si="76"/>
        <v>0.21666666666666656</v>
      </c>
      <c r="M82" s="36">
        <f t="shared" si="76"/>
        <v>2.1917808219177992E-2</v>
      </c>
      <c r="N82" s="36">
        <f t="shared" si="76"/>
        <v>-9.3833780160856861E-3</v>
      </c>
      <c r="O82" s="36">
        <f t="shared" si="76"/>
        <v>6.7658998646820123E-2</v>
      </c>
      <c r="P82" s="36">
        <f t="shared" si="76"/>
        <v>-6.7173637515842932E-2</v>
      </c>
      <c r="Q82" s="36">
        <f t="shared" si="76"/>
        <v>5.4347826086957873E-3</v>
      </c>
      <c r="R82" s="36">
        <f t="shared" si="76"/>
        <v>-9.4594594594594739E-3</v>
      </c>
      <c r="S82" s="45"/>
      <c r="T82" s="45"/>
      <c r="U82" s="38" t="s">
        <v>146</v>
      </c>
      <c r="V82" s="38" t="s">
        <v>146</v>
      </c>
      <c r="W82" s="38" t="s">
        <v>146</v>
      </c>
      <c r="X82" s="38" t="s">
        <v>146</v>
      </c>
      <c r="Y82" s="38" t="s">
        <v>146</v>
      </c>
      <c r="Z82" s="38" t="s">
        <v>146</v>
      </c>
      <c r="AA82" s="38" t="s">
        <v>146</v>
      </c>
      <c r="AB82" s="38" t="s">
        <v>146</v>
      </c>
      <c r="AC82" s="45"/>
      <c r="AD82" s="45"/>
    </row>
    <row r="83" spans="1:30">
      <c r="A83" s="45" t="s">
        <v>217</v>
      </c>
      <c r="B83" s="45" t="s">
        <v>150</v>
      </c>
      <c r="C83" s="36" t="s">
        <v>146</v>
      </c>
      <c r="D83" s="36" t="s">
        <v>146</v>
      </c>
      <c r="E83" s="36" t="s">
        <v>146</v>
      </c>
      <c r="F83" s="36" t="s">
        <v>146</v>
      </c>
      <c r="G83" s="36" t="str">
        <f t="shared" ref="G83:R83" si="77">IF(AND(ISNUMBER(G81),ISNUMBER(C81)),G81+C81,"n/a")</f>
        <v>n/a</v>
      </c>
      <c r="H83" s="36" t="str">
        <f t="shared" si="77"/>
        <v>n/a</v>
      </c>
      <c r="I83" s="36" t="str">
        <f t="shared" si="77"/>
        <v>n/a</v>
      </c>
      <c r="J83" s="36" t="str">
        <f t="shared" si="77"/>
        <v>n/a</v>
      </c>
      <c r="K83" s="36" t="str">
        <f t="shared" si="77"/>
        <v>n/a</v>
      </c>
      <c r="L83" s="36" t="str">
        <f t="shared" si="77"/>
        <v>n/a</v>
      </c>
      <c r="M83" s="36" t="str">
        <f t="shared" si="77"/>
        <v>n/a</v>
      </c>
      <c r="N83" s="36" t="str">
        <f t="shared" si="77"/>
        <v>n/a</v>
      </c>
      <c r="O83" s="36">
        <f t="shared" si="77"/>
        <v>0.13691780821917821</v>
      </c>
      <c r="P83" s="36">
        <f t="shared" si="77"/>
        <v>6.6190192574945295E-2</v>
      </c>
      <c r="Q83" s="36">
        <f t="shared" si="77"/>
        <v>5.767139027192647E-2</v>
      </c>
      <c r="R83" s="36">
        <f t="shared" si="77"/>
        <v>0.16489679317825456</v>
      </c>
      <c r="S83" s="45"/>
      <c r="T83" s="45"/>
      <c r="U83" s="38" t="s">
        <v>146</v>
      </c>
      <c r="V83" s="38" t="s">
        <v>146</v>
      </c>
      <c r="W83" s="38" t="str">
        <f t="shared" ref="W83:AB83" si="78">IF(AND(ISNUMBER(W81),ISNUMBER(V81)),W81+V81,"n/a")</f>
        <v>n/a</v>
      </c>
      <c r="X83" s="38" t="str">
        <f t="shared" si="78"/>
        <v>n/a</v>
      </c>
      <c r="Y83" s="38">
        <f t="shared" si="78"/>
        <v>7.4390715667311369E-2</v>
      </c>
      <c r="Z83" s="38">
        <f t="shared" si="78"/>
        <v>0.10235063944873635</v>
      </c>
      <c r="AA83" s="38">
        <f t="shared" si="78"/>
        <v>9.4492774755867481E-2</v>
      </c>
      <c r="AB83" s="38">
        <f t="shared" si="78"/>
        <v>0.13078237457045216</v>
      </c>
      <c r="AC83" s="45"/>
      <c r="AD83" s="45"/>
    </row>
    <row r="85" spans="1:30">
      <c r="A85" s="34" t="s">
        <v>44</v>
      </c>
      <c r="B85" s="45" t="s">
        <v>142</v>
      </c>
      <c r="C85" s="40">
        <v>0.65700000000000003</v>
      </c>
      <c r="D85" s="40">
        <v>0.68</v>
      </c>
      <c r="E85" s="40">
        <v>0.68899999999999995</v>
      </c>
      <c r="F85" s="40">
        <v>0.65900000000000003</v>
      </c>
      <c r="G85" s="40">
        <v>0.65600000000000003</v>
      </c>
      <c r="H85" s="40">
        <v>0.65600000000000003</v>
      </c>
      <c r="I85" s="40">
        <v>0.67600000000000005</v>
      </c>
      <c r="J85" s="40">
        <v>0.65500000000000003</v>
      </c>
      <c r="K85" s="40">
        <v>0.66100000000000003</v>
      </c>
      <c r="L85" s="40">
        <v>0.66400000000000003</v>
      </c>
      <c r="M85" s="40">
        <v>0.67979999999999996</v>
      </c>
      <c r="N85" s="40">
        <v>0.6744</v>
      </c>
      <c r="O85" s="40">
        <v>0.67989999999999995</v>
      </c>
      <c r="P85" s="40">
        <v>0.68479999999999996</v>
      </c>
      <c r="Q85" s="40">
        <v>0.68459999999999999</v>
      </c>
      <c r="R85" s="40">
        <v>0.6804</v>
      </c>
      <c r="S85" s="45"/>
      <c r="T85" s="45"/>
      <c r="U85" s="39" t="s">
        <v>146</v>
      </c>
      <c r="V85" s="40">
        <v>0.67100000000000004</v>
      </c>
      <c r="W85" s="40">
        <v>0.66100000000000003</v>
      </c>
      <c r="X85" s="40">
        <v>0.67490000000000006</v>
      </c>
      <c r="Y85" s="40">
        <v>0.68230000000000002</v>
      </c>
      <c r="Z85" s="40">
        <v>0.68640000000000001</v>
      </c>
      <c r="AA85" s="40">
        <v>0.68969999999999998</v>
      </c>
      <c r="AB85" s="40">
        <v>0.69</v>
      </c>
      <c r="AC85" s="45"/>
      <c r="AD85" s="45"/>
    </row>
    <row r="87" spans="1:30">
      <c r="A87" s="34" t="s">
        <v>45</v>
      </c>
      <c r="B87" s="45" t="s">
        <v>142</v>
      </c>
      <c r="C87" s="40">
        <v>0.11</v>
      </c>
      <c r="D87" s="40">
        <v>0.40500000000000003</v>
      </c>
      <c r="E87" s="40">
        <v>0.68600000000000005</v>
      </c>
      <c r="F87" s="40">
        <v>0.158</v>
      </c>
      <c r="G87" s="40">
        <v>0.158</v>
      </c>
      <c r="H87" s="40">
        <v>0.20200000000000001</v>
      </c>
      <c r="I87" s="40">
        <v>0.21</v>
      </c>
      <c r="J87" s="40">
        <v>0.17399999999999999</v>
      </c>
      <c r="K87" s="40">
        <v>0.192</v>
      </c>
      <c r="L87" s="40">
        <v>0.21099999999999999</v>
      </c>
      <c r="M87" s="40">
        <v>0.2177</v>
      </c>
      <c r="N87" s="40">
        <v>0.2278</v>
      </c>
      <c r="O87" s="40">
        <v>0.218</v>
      </c>
      <c r="P87" s="40">
        <v>0.23019999999999999</v>
      </c>
      <c r="Q87" s="40">
        <v>0.23449999999999999</v>
      </c>
      <c r="R87" s="40">
        <v>0.2432</v>
      </c>
      <c r="S87" s="45"/>
      <c r="T87" s="45"/>
      <c r="U87" s="39" t="s">
        <v>146</v>
      </c>
      <c r="V87" s="40">
        <v>0.34</v>
      </c>
      <c r="W87" s="40">
        <v>0.18579999999999999</v>
      </c>
      <c r="X87" s="40">
        <v>0.21260000000000001</v>
      </c>
      <c r="Y87" s="40">
        <v>0.2319</v>
      </c>
      <c r="Z87" s="40">
        <v>0.25</v>
      </c>
      <c r="AA87" s="40">
        <v>0.26440000000000002</v>
      </c>
      <c r="AB87" s="40">
        <v>0.27889999999999998</v>
      </c>
      <c r="AC87" s="45"/>
      <c r="AD87" s="2" t="s">
        <v>218</v>
      </c>
    </row>
    <row r="89" spans="1:30">
      <c r="A89" s="34" t="s">
        <v>52</v>
      </c>
      <c r="B89" s="45" t="s">
        <v>142</v>
      </c>
      <c r="C89" s="40">
        <v>0.25</v>
      </c>
      <c r="D89" s="40">
        <v>0.24199999999999999</v>
      </c>
      <c r="E89" s="40">
        <v>0.21</v>
      </c>
      <c r="F89" s="40">
        <v>0.23699999999999999</v>
      </c>
      <c r="G89" s="40">
        <v>0.22</v>
      </c>
      <c r="H89" s="40">
        <v>0.222</v>
      </c>
      <c r="I89" s="40">
        <v>0.186</v>
      </c>
      <c r="J89" s="40">
        <v>0.19500000000000001</v>
      </c>
      <c r="K89" s="40">
        <v>0.20499999999999999</v>
      </c>
      <c r="L89" s="40">
        <v>0.20499999999999999</v>
      </c>
      <c r="M89" s="40">
        <v>0.20399999999999999</v>
      </c>
      <c r="N89" s="40">
        <v>0.20399999999999999</v>
      </c>
      <c r="O89" s="40">
        <v>0.20449999999999999</v>
      </c>
      <c r="P89" s="40">
        <v>0.20399999999999999</v>
      </c>
      <c r="Q89" s="40">
        <v>0.2041</v>
      </c>
      <c r="R89" s="40">
        <v>0.2041</v>
      </c>
      <c r="S89" s="45"/>
      <c r="T89" s="45"/>
      <c r="U89" s="39" t="s">
        <v>146</v>
      </c>
      <c r="V89" s="40">
        <v>0.23599999999999999</v>
      </c>
      <c r="W89" s="40">
        <v>0.20499999999999999</v>
      </c>
      <c r="X89" s="40">
        <v>0.2049</v>
      </c>
      <c r="Y89" s="40">
        <v>0.2046</v>
      </c>
      <c r="Z89" s="40">
        <v>0.20430000000000001</v>
      </c>
      <c r="AA89" s="40">
        <v>0.20649999999999999</v>
      </c>
      <c r="AB89" s="40">
        <v>0.2112</v>
      </c>
      <c r="AC89" s="45"/>
      <c r="AD89" s="45"/>
    </row>
    <row r="91" spans="1:30">
      <c r="A91" s="34" t="s">
        <v>54</v>
      </c>
      <c r="B91" s="45" t="s">
        <v>142</v>
      </c>
      <c r="C91" s="41">
        <v>0.98</v>
      </c>
      <c r="D91" s="41">
        <v>1.0900000000000001</v>
      </c>
      <c r="E91" s="41">
        <v>1.1399999999999999</v>
      </c>
      <c r="F91" s="41">
        <v>0.95</v>
      </c>
      <c r="G91" s="41">
        <v>0.97</v>
      </c>
      <c r="H91" s="41">
        <v>1.19</v>
      </c>
      <c r="I91" s="41">
        <v>1.34</v>
      </c>
      <c r="J91" s="41">
        <v>1.35</v>
      </c>
      <c r="K91" s="41">
        <v>1.1499999999999999</v>
      </c>
      <c r="L91" s="41">
        <v>1.31</v>
      </c>
      <c r="M91" s="41">
        <v>1.36</v>
      </c>
      <c r="N91" s="41">
        <v>1.54</v>
      </c>
      <c r="O91" s="41">
        <v>1.35</v>
      </c>
      <c r="P91" s="41">
        <v>1.47</v>
      </c>
      <c r="Q91" s="41">
        <v>1.55</v>
      </c>
      <c r="R91" s="41">
        <v>1.71</v>
      </c>
      <c r="S91" s="45"/>
      <c r="T91" s="45"/>
      <c r="U91" s="39" t="s">
        <v>146</v>
      </c>
      <c r="V91" s="41">
        <v>4.16</v>
      </c>
      <c r="W91" s="41">
        <v>4.84</v>
      </c>
      <c r="X91" s="41">
        <v>5.36</v>
      </c>
      <c r="Y91" s="41">
        <v>6.11</v>
      </c>
      <c r="Z91" s="41">
        <v>7.01</v>
      </c>
      <c r="AA91" s="41">
        <v>7.99</v>
      </c>
      <c r="AB91" s="41">
        <v>9.5</v>
      </c>
      <c r="AC91" s="45"/>
      <c r="AD91" s="2" t="s">
        <v>219</v>
      </c>
    </row>
    <row r="92" spans="1:30">
      <c r="A92" s="45" t="s">
        <v>220</v>
      </c>
      <c r="B92" s="45" t="s">
        <v>145</v>
      </c>
      <c r="C92" s="36" t="s">
        <v>146</v>
      </c>
      <c r="D92" s="36" t="s">
        <v>146</v>
      </c>
      <c r="E92" s="37" t="s">
        <v>221</v>
      </c>
      <c r="F92" s="37" t="s">
        <v>221</v>
      </c>
      <c r="G92" s="36">
        <f t="shared" ref="G92:R92" si="79">IF(AND(ISNUMBER(G91),ISNUMBER(C91)),G91/C91-1,"n/a")</f>
        <v>-1.0204081632653073E-2</v>
      </c>
      <c r="H92" s="36">
        <f t="shared" si="79"/>
        <v>9.174311926605494E-2</v>
      </c>
      <c r="I92" s="36">
        <f t="shared" si="79"/>
        <v>0.17543859649122817</v>
      </c>
      <c r="J92" s="36">
        <f t="shared" si="79"/>
        <v>0.42105263157894757</v>
      </c>
      <c r="K92" s="36">
        <f t="shared" si="79"/>
        <v>0.18556701030927836</v>
      </c>
      <c r="L92" s="36">
        <f t="shared" si="79"/>
        <v>0.10084033613445387</v>
      </c>
      <c r="M92" s="36">
        <f t="shared" si="79"/>
        <v>1.4925373134328401E-2</v>
      </c>
      <c r="N92" s="36">
        <f t="shared" si="79"/>
        <v>0.14074074074074061</v>
      </c>
      <c r="O92" s="36">
        <f t="shared" si="79"/>
        <v>0.17391304347826098</v>
      </c>
      <c r="P92" s="36">
        <f t="shared" si="79"/>
        <v>0.12213740458015265</v>
      </c>
      <c r="Q92" s="36">
        <f t="shared" si="79"/>
        <v>0.13970588235294112</v>
      </c>
      <c r="R92" s="36">
        <f t="shared" si="79"/>
        <v>0.11038961038961026</v>
      </c>
      <c r="S92" s="45"/>
      <c r="T92" s="45"/>
      <c r="U92" s="38" t="s">
        <v>146</v>
      </c>
      <c r="V92" s="37" t="s">
        <v>221</v>
      </c>
      <c r="W92" s="38">
        <f t="shared" ref="W92:AB92" si="80">IF(AND(ISNUMBER(W91),ISNUMBER(V91)),W91/V91-1,"n/a")</f>
        <v>0.16346153846153832</v>
      </c>
      <c r="X92" s="38">
        <f t="shared" si="80"/>
        <v>0.10743801652892571</v>
      </c>
      <c r="Y92" s="38">
        <f t="shared" si="80"/>
        <v>0.1399253731343284</v>
      </c>
      <c r="Z92" s="38">
        <f t="shared" si="80"/>
        <v>0.14729950900163646</v>
      </c>
      <c r="AA92" s="38">
        <f t="shared" si="80"/>
        <v>0.13980028530670485</v>
      </c>
      <c r="AB92" s="38">
        <f t="shared" si="80"/>
        <v>0.18898623279098881</v>
      </c>
      <c r="AC92" s="45"/>
      <c r="AD92" s="45"/>
    </row>
    <row r="93" spans="1:30">
      <c r="A93" s="45" t="s">
        <v>222</v>
      </c>
      <c r="B93" s="45" t="s">
        <v>148</v>
      </c>
      <c r="C93" s="36" t="s">
        <v>146</v>
      </c>
      <c r="D93" s="36">
        <f t="shared" ref="D93:R93" si="81">IF(AND(ISNUMBER(D91),ISNUMBER(C91)),D91/C91-1,"n/a")</f>
        <v>0.11224489795918369</v>
      </c>
      <c r="E93" s="36">
        <f t="shared" si="81"/>
        <v>4.5871559633027248E-2</v>
      </c>
      <c r="F93" s="36">
        <f t="shared" si="81"/>
        <v>-0.16666666666666663</v>
      </c>
      <c r="G93" s="36">
        <f t="shared" si="81"/>
        <v>2.1052631578947434E-2</v>
      </c>
      <c r="H93" s="36">
        <f t="shared" si="81"/>
        <v>0.22680412371134029</v>
      </c>
      <c r="I93" s="36">
        <f t="shared" si="81"/>
        <v>0.12605042016806745</v>
      </c>
      <c r="J93" s="36">
        <f t="shared" si="81"/>
        <v>7.4626865671640896E-3</v>
      </c>
      <c r="K93" s="36">
        <f t="shared" si="81"/>
        <v>-0.14814814814814825</v>
      </c>
      <c r="L93" s="36">
        <f t="shared" si="81"/>
        <v>0.13913043478260878</v>
      </c>
      <c r="M93" s="36">
        <f t="shared" si="81"/>
        <v>3.8167938931297662E-2</v>
      </c>
      <c r="N93" s="36">
        <f t="shared" si="81"/>
        <v>0.13235294117647056</v>
      </c>
      <c r="O93" s="36">
        <f t="shared" si="81"/>
        <v>-0.12337662337662336</v>
      </c>
      <c r="P93" s="36">
        <f t="shared" si="81"/>
        <v>8.8888888888888795E-2</v>
      </c>
      <c r="Q93" s="36">
        <f t="shared" si="81"/>
        <v>5.4421768707483054E-2</v>
      </c>
      <c r="R93" s="36">
        <f t="shared" si="81"/>
        <v>0.10322580645161294</v>
      </c>
      <c r="S93" s="45"/>
      <c r="T93" s="45"/>
      <c r="U93" s="38" t="s">
        <v>146</v>
      </c>
      <c r="V93" s="38" t="s">
        <v>146</v>
      </c>
      <c r="W93" s="38" t="s">
        <v>146</v>
      </c>
      <c r="X93" s="38" t="s">
        <v>146</v>
      </c>
      <c r="Y93" s="38" t="s">
        <v>146</v>
      </c>
      <c r="Z93" s="38" t="s">
        <v>146</v>
      </c>
      <c r="AA93" s="38" t="s">
        <v>146</v>
      </c>
      <c r="AB93" s="38" t="s">
        <v>146</v>
      </c>
      <c r="AC93" s="45"/>
      <c r="AD93" s="45"/>
    </row>
    <row r="94" spans="1:30">
      <c r="A94" s="45" t="s">
        <v>223</v>
      </c>
      <c r="B94" s="45" t="s">
        <v>150</v>
      </c>
      <c r="C94" s="36" t="s">
        <v>146</v>
      </c>
      <c r="D94" s="36" t="s">
        <v>146</v>
      </c>
      <c r="E94" s="36" t="s">
        <v>146</v>
      </c>
      <c r="F94" s="36" t="s">
        <v>146</v>
      </c>
      <c r="G94" s="36" t="str">
        <f t="shared" ref="G94:R94" si="82">IF(AND(ISNUMBER(G92),ISNUMBER(C92)),G92+C92,"n/a")</f>
        <v>n/a</v>
      </c>
      <c r="H94" s="36" t="str">
        <f t="shared" si="82"/>
        <v>n/a</v>
      </c>
      <c r="I94" s="36" t="str">
        <f t="shared" si="82"/>
        <v>n/a</v>
      </c>
      <c r="J94" s="36" t="str">
        <f t="shared" si="82"/>
        <v>n/a</v>
      </c>
      <c r="K94" s="36">
        <f t="shared" si="82"/>
        <v>0.17536292867662528</v>
      </c>
      <c r="L94" s="36">
        <f t="shared" si="82"/>
        <v>0.19258345540050881</v>
      </c>
      <c r="M94" s="36">
        <f t="shared" si="82"/>
        <v>0.19036396962555657</v>
      </c>
      <c r="N94" s="36">
        <f t="shared" si="82"/>
        <v>0.56179337231968818</v>
      </c>
      <c r="O94" s="36">
        <f t="shared" si="82"/>
        <v>0.35948005378753933</v>
      </c>
      <c r="P94" s="36">
        <f t="shared" si="82"/>
        <v>0.22297774071460652</v>
      </c>
      <c r="Q94" s="36">
        <f t="shared" si="82"/>
        <v>0.15463125548726953</v>
      </c>
      <c r="R94" s="36">
        <f t="shared" si="82"/>
        <v>0.25113035113035087</v>
      </c>
      <c r="S94" s="45"/>
      <c r="T94" s="45"/>
      <c r="U94" s="38" t="s">
        <v>146</v>
      </c>
      <c r="V94" s="38" t="s">
        <v>146</v>
      </c>
      <c r="W94" s="38" t="str">
        <f t="shared" ref="W94:AB94" si="83">IF(AND(ISNUMBER(W92),ISNUMBER(V92)),W92+V92,"n/a")</f>
        <v>n/a</v>
      </c>
      <c r="X94" s="38">
        <f t="shared" si="83"/>
        <v>0.27089955499046403</v>
      </c>
      <c r="Y94" s="38">
        <f t="shared" si="83"/>
        <v>0.24736338966325411</v>
      </c>
      <c r="Z94" s="38">
        <f t="shared" si="83"/>
        <v>0.28722488213596487</v>
      </c>
      <c r="AA94" s="38">
        <f t="shared" si="83"/>
        <v>0.28709979430834132</v>
      </c>
      <c r="AB94" s="38">
        <f t="shared" si="83"/>
        <v>0.32878651809769366</v>
      </c>
      <c r="AC94" s="45"/>
      <c r="AD94" s="45"/>
    </row>
    <row r="96" spans="1:30">
      <c r="A96" s="34" t="s">
        <v>34</v>
      </c>
      <c r="B96" s="45" t="s">
        <v>142</v>
      </c>
      <c r="C96" s="39" t="s">
        <v>146</v>
      </c>
      <c r="D96" s="42">
        <v>0.45</v>
      </c>
      <c r="E96" s="42">
        <v>0.55000000000000004</v>
      </c>
      <c r="F96" s="42">
        <v>0.66</v>
      </c>
      <c r="G96" s="42">
        <v>0.68</v>
      </c>
      <c r="H96" s="42">
        <v>0.69</v>
      </c>
      <c r="I96" s="42">
        <v>0.78</v>
      </c>
      <c r="J96" s="42">
        <v>0.8</v>
      </c>
      <c r="K96" s="42">
        <v>0.82</v>
      </c>
      <c r="L96" s="42">
        <v>0.83</v>
      </c>
      <c r="M96" s="39" t="s">
        <v>146</v>
      </c>
      <c r="N96" s="39" t="s">
        <v>146</v>
      </c>
      <c r="O96" s="39" t="s">
        <v>146</v>
      </c>
      <c r="P96" s="39" t="s">
        <v>146</v>
      </c>
      <c r="Q96" s="39" t="s">
        <v>146</v>
      </c>
      <c r="R96" s="39" t="s">
        <v>146</v>
      </c>
      <c r="S96" s="45"/>
      <c r="T96" s="45"/>
      <c r="U96" s="39" t="s">
        <v>146</v>
      </c>
      <c r="V96" s="39" t="s">
        <v>146</v>
      </c>
      <c r="W96" s="39" t="s">
        <v>146</v>
      </c>
      <c r="X96" s="39" t="s">
        <v>146</v>
      </c>
      <c r="Y96" s="39" t="s">
        <v>146</v>
      </c>
      <c r="Z96" s="39" t="s">
        <v>146</v>
      </c>
      <c r="AA96" s="39" t="s">
        <v>146</v>
      </c>
      <c r="AB96" s="39" t="s">
        <v>146</v>
      </c>
      <c r="AC96" s="45"/>
      <c r="AD96" s="45"/>
    </row>
    <row r="98" spans="1:28">
      <c r="A98" s="34" t="s">
        <v>35</v>
      </c>
      <c r="B98" s="45" t="s">
        <v>142</v>
      </c>
      <c r="C98" s="39" t="s">
        <v>146</v>
      </c>
      <c r="D98" s="42">
        <v>0.27</v>
      </c>
      <c r="E98" s="42">
        <v>0.36</v>
      </c>
      <c r="F98" s="42">
        <v>0.4</v>
      </c>
      <c r="G98" s="42">
        <v>0.43</v>
      </c>
      <c r="H98" s="42">
        <v>0.44</v>
      </c>
      <c r="I98" s="42">
        <v>0.51</v>
      </c>
      <c r="J98" s="42">
        <v>0.55000000000000004</v>
      </c>
      <c r="K98" s="42">
        <v>0.55000000000000004</v>
      </c>
      <c r="L98" s="42">
        <v>0.59</v>
      </c>
      <c r="M98" s="39" t="s">
        <v>146</v>
      </c>
      <c r="N98" s="39" t="s">
        <v>146</v>
      </c>
      <c r="O98" s="39" t="s">
        <v>146</v>
      </c>
      <c r="P98" s="39" t="s">
        <v>146</v>
      </c>
      <c r="Q98" s="39" t="s">
        <v>146</v>
      </c>
      <c r="R98" s="39" t="s">
        <v>146</v>
      </c>
      <c r="S98" s="45"/>
      <c r="T98" s="45"/>
      <c r="U98" s="39" t="s">
        <v>146</v>
      </c>
      <c r="V98" s="39" t="s">
        <v>146</v>
      </c>
      <c r="W98" s="39" t="s">
        <v>146</v>
      </c>
      <c r="X98" s="39" t="s">
        <v>146</v>
      </c>
      <c r="Y98" s="39" t="s">
        <v>146</v>
      </c>
      <c r="Z98" s="39" t="s">
        <v>146</v>
      </c>
      <c r="AA98" s="39" t="s">
        <v>146</v>
      </c>
      <c r="AB98" s="39" t="s">
        <v>146</v>
      </c>
    </row>
    <row r="100" spans="1:28">
      <c r="A100" s="34" t="s">
        <v>38</v>
      </c>
      <c r="B100" s="45" t="s">
        <v>142</v>
      </c>
      <c r="C100" s="38">
        <f t="shared" ref="C100:R100" si="84">IF(AND(ISNUMBER(C50),ISNUMBER(C4)),C50/C4,"n/a")</f>
        <v>0.67045454545454541</v>
      </c>
      <c r="D100" s="38">
        <f t="shared" si="84"/>
        <v>0.69413919413919412</v>
      </c>
      <c r="E100" s="38">
        <f t="shared" si="84"/>
        <v>0.70462962962962961</v>
      </c>
      <c r="F100" s="38">
        <f t="shared" si="84"/>
        <v>0.6748188405797102</v>
      </c>
      <c r="G100" s="38">
        <f t="shared" si="84"/>
        <v>0.67435158501440917</v>
      </c>
      <c r="H100" s="38">
        <f t="shared" si="84"/>
        <v>0.69405099150141647</v>
      </c>
      <c r="I100" s="38">
        <f t="shared" si="84"/>
        <v>0.69188191881918815</v>
      </c>
      <c r="J100" s="38">
        <f t="shared" si="84"/>
        <v>0.67040552200172565</v>
      </c>
      <c r="K100" s="38">
        <f t="shared" si="84"/>
        <v>0.68194317140238314</v>
      </c>
      <c r="L100" s="38">
        <f t="shared" si="84"/>
        <v>0.68162208800690249</v>
      </c>
      <c r="M100" s="38">
        <f t="shared" si="84"/>
        <v>0.68844221105527637</v>
      </c>
      <c r="N100" s="38">
        <f t="shared" si="84"/>
        <v>0.68683390719790127</v>
      </c>
      <c r="O100" s="38">
        <f t="shared" si="84"/>
        <v>0.68747844084166965</v>
      </c>
      <c r="P100" s="38">
        <f t="shared" si="84"/>
        <v>0.69149285596978161</v>
      </c>
      <c r="Q100" s="38">
        <f t="shared" si="84"/>
        <v>0.69329645297754638</v>
      </c>
      <c r="R100" s="38">
        <f t="shared" si="84"/>
        <v>0.68993267817070347</v>
      </c>
      <c r="S100" s="45"/>
      <c r="T100" s="45"/>
      <c r="U100" s="38" t="str">
        <f t="shared" ref="U100:AB100" si="85">IF(AND(ISNUMBER(U50),ISNUMBER(U4)),U50/U4,"n/a")</f>
        <v>n/a</v>
      </c>
      <c r="V100" s="38">
        <f t="shared" si="85"/>
        <v>0.68628808864265933</v>
      </c>
      <c r="W100" s="38">
        <f t="shared" si="85"/>
        <v>0.68247755008058941</v>
      </c>
      <c r="X100" s="38">
        <f t="shared" si="85"/>
        <v>0.68469987891368267</v>
      </c>
      <c r="Y100" s="38">
        <f t="shared" si="85"/>
        <v>0.69050281601366326</v>
      </c>
      <c r="Z100" s="38">
        <f t="shared" si="85"/>
        <v>0.69529528007904529</v>
      </c>
      <c r="AA100" s="38">
        <f t="shared" si="85"/>
        <v>0.70030267093827991</v>
      </c>
      <c r="AB100" s="38">
        <f t="shared" si="85"/>
        <v>0.70260681023012861</v>
      </c>
    </row>
    <row r="102" spans="1:28">
      <c r="A102" s="34" t="s">
        <v>41</v>
      </c>
      <c r="B102" s="45" t="s">
        <v>142</v>
      </c>
      <c r="C102" s="38">
        <f t="shared" ref="C102:R102" si="86">IF(AND(ISNUMBER(C55),ISNUMBER(C4)),C55/C4,"n/a")</f>
        <v>0.20643939393939395</v>
      </c>
      <c r="D102" s="38">
        <f t="shared" si="86"/>
        <v>0.2216117216117216</v>
      </c>
      <c r="E102" s="38">
        <f t="shared" si="86"/>
        <v>0.22592592592592592</v>
      </c>
      <c r="F102" s="38">
        <f t="shared" si="86"/>
        <v>0.19746376811594202</v>
      </c>
      <c r="G102" s="38">
        <f t="shared" si="86"/>
        <v>0.20365033621517772</v>
      </c>
      <c r="H102" s="38">
        <f t="shared" si="86"/>
        <v>0.23796033994334279</v>
      </c>
      <c r="I102" s="38">
        <f t="shared" si="86"/>
        <v>0.24446494464944649</v>
      </c>
      <c r="J102" s="38">
        <f t="shared" si="86"/>
        <v>0.23727351164797239</v>
      </c>
      <c r="K102" s="38">
        <f t="shared" si="86"/>
        <v>0.21906507791017416</v>
      </c>
      <c r="L102" s="38">
        <f t="shared" si="86"/>
        <v>0.22433132010353754</v>
      </c>
      <c r="M102" s="38">
        <f t="shared" si="86"/>
        <v>0.23999306879223703</v>
      </c>
      <c r="N102" s="38">
        <f t="shared" si="86"/>
        <v>0.25536973274307262</v>
      </c>
      <c r="O102" s="38">
        <f t="shared" si="86"/>
        <v>0.23447740600206968</v>
      </c>
      <c r="P102" s="38">
        <f t="shared" si="86"/>
        <v>0.24618163902118576</v>
      </c>
      <c r="Q102" s="38">
        <f t="shared" si="86"/>
        <v>0.25650829808005204</v>
      </c>
      <c r="R102" s="38">
        <f t="shared" si="86"/>
        <v>0.26719801903582763</v>
      </c>
      <c r="S102" s="45"/>
      <c r="T102" s="45"/>
      <c r="U102" s="38" t="str">
        <f t="shared" ref="U102:AB102" si="87">IF(AND(ISNUMBER(U55),ISNUMBER(U4)),U55/U4,"n/a")</f>
        <v>n/a</v>
      </c>
      <c r="V102" s="38">
        <f t="shared" si="87"/>
        <v>0.21283471837488457</v>
      </c>
      <c r="W102" s="38">
        <f t="shared" si="87"/>
        <v>0.2311766060326963</v>
      </c>
      <c r="X102" s="38">
        <f t="shared" si="87"/>
        <v>0.23499394568413767</v>
      </c>
      <c r="Y102" s="38">
        <f t="shared" si="87"/>
        <v>0.2522009637476364</v>
      </c>
      <c r="Z102" s="38">
        <f t="shared" si="87"/>
        <v>0.26499201945732309</v>
      </c>
      <c r="AA102" s="38">
        <f t="shared" si="87"/>
        <v>0.27679345805972</v>
      </c>
      <c r="AB102" s="38">
        <f t="shared" si="87"/>
        <v>0.28799750324414003</v>
      </c>
    </row>
    <row r="104" spans="1:28">
      <c r="A104" s="34" t="s">
        <v>224</v>
      </c>
      <c r="B104" s="45" t="s">
        <v>142</v>
      </c>
      <c r="C104" s="38">
        <f t="shared" ref="C104:R104" si="88">IF(AND(ISNUMBER(C55),ISNUMBER(C60),ISNUMBER(C4)),(C55+C60)/C4,"n/a")</f>
        <v>0.25946969696969696</v>
      </c>
      <c r="D104" s="38">
        <f t="shared" si="88"/>
        <v>0.27289377289377287</v>
      </c>
      <c r="E104" s="38">
        <f t="shared" si="88"/>
        <v>0.27777777777777779</v>
      </c>
      <c r="F104" s="38">
        <f t="shared" si="88"/>
        <v>0.24818840579710144</v>
      </c>
      <c r="G104" s="38">
        <f t="shared" si="88"/>
        <v>0.25360230547550433</v>
      </c>
      <c r="H104" s="38">
        <f t="shared" si="88"/>
        <v>0.28611898016997167</v>
      </c>
      <c r="I104" s="38">
        <f t="shared" si="88"/>
        <v>0.29059040590405905</v>
      </c>
      <c r="J104" s="38">
        <f t="shared" si="88"/>
        <v>0.28041415012942189</v>
      </c>
      <c r="K104" s="38">
        <f t="shared" si="88"/>
        <v>0.26672777268560954</v>
      </c>
      <c r="L104" s="38">
        <f t="shared" si="88"/>
        <v>0.26919758412424505</v>
      </c>
      <c r="M104" s="38">
        <f t="shared" si="88"/>
        <v>0.28617224051290935</v>
      </c>
      <c r="N104" s="38">
        <f t="shared" si="88"/>
        <v>0.29955730447614365</v>
      </c>
      <c r="O104" s="38">
        <f t="shared" si="88"/>
        <v>0.28009658502932044</v>
      </c>
      <c r="P104" s="38">
        <f t="shared" si="88"/>
        <v>0.29109870257842013</v>
      </c>
      <c r="Q104" s="38">
        <f t="shared" si="88"/>
        <v>0.30092743247640746</v>
      </c>
      <c r="R104" s="38">
        <f t="shared" si="88"/>
        <v>0.30975779617735821</v>
      </c>
      <c r="S104" s="45"/>
      <c r="T104" s="45"/>
      <c r="U104" s="38" t="str">
        <f t="shared" ref="U104:AB104" si="89">IF(AND(ISNUMBER(U55),ISNUMBER(U60),ISNUMBER(U4)),(U55+U60)/U4,"n/a")</f>
        <v>n/a</v>
      </c>
      <c r="V104" s="38">
        <f t="shared" si="89"/>
        <v>0.26454293628808867</v>
      </c>
      <c r="W104" s="38">
        <f t="shared" si="89"/>
        <v>0.27814874510706883</v>
      </c>
      <c r="X104" s="38">
        <f t="shared" si="89"/>
        <v>0.28050942743469987</v>
      </c>
      <c r="Y104" s="38">
        <f t="shared" si="89"/>
        <v>0.29676920887298458</v>
      </c>
      <c r="Z104" s="38">
        <f t="shared" si="89"/>
        <v>0.30928403131412929</v>
      </c>
      <c r="AA104" s="38">
        <f t="shared" si="89"/>
        <v>0.32072499424748219</v>
      </c>
      <c r="AB104" s="38">
        <f t="shared" si="89"/>
        <v>0.33016311043216873</v>
      </c>
    </row>
    <row r="106" spans="1:28">
      <c r="A106" s="34" t="s">
        <v>43</v>
      </c>
      <c r="B106" s="45" t="s">
        <v>142</v>
      </c>
      <c r="C106" s="38">
        <f t="shared" ref="C106:R106" si="90">IF(AND(ISNUMBER(C65),ISNUMBER(C4)),C65/C4,"n/a")</f>
        <v>0.14772727272727273</v>
      </c>
      <c r="D106" s="38">
        <f t="shared" si="90"/>
        <v>0.15934065934065933</v>
      </c>
      <c r="E106" s="38">
        <f t="shared" si="90"/>
        <v>0.1675925925925926</v>
      </c>
      <c r="F106" s="38">
        <f t="shared" si="90"/>
        <v>0.13768115942028986</v>
      </c>
      <c r="G106" s="38">
        <f t="shared" si="90"/>
        <v>0.14793467819404418</v>
      </c>
      <c r="H106" s="38">
        <f t="shared" si="90"/>
        <v>0.17658168083097261</v>
      </c>
      <c r="I106" s="38">
        <f t="shared" si="90"/>
        <v>0.1900369003690037</v>
      </c>
      <c r="J106" s="38">
        <f t="shared" si="90"/>
        <v>0.17946505608283003</v>
      </c>
      <c r="K106" s="38">
        <f t="shared" si="90"/>
        <v>0.16223648029330889</v>
      </c>
      <c r="L106" s="38">
        <f t="shared" si="90"/>
        <v>0.17256255392579811</v>
      </c>
      <c r="M106" s="38">
        <f t="shared" si="90"/>
        <v>0.17943164096343786</v>
      </c>
      <c r="N106" s="38">
        <f t="shared" si="90"/>
        <v>0.19273651418265289</v>
      </c>
      <c r="O106" s="38">
        <f t="shared" si="90"/>
        <v>0.17497412901000348</v>
      </c>
      <c r="P106" s="38">
        <f t="shared" si="90"/>
        <v>0.18705863031696504</v>
      </c>
      <c r="Q106" s="38">
        <f t="shared" si="90"/>
        <v>0.19516758867556133</v>
      </c>
      <c r="R106" s="38">
        <f t="shared" si="90"/>
        <v>0.20397740462740852</v>
      </c>
      <c r="S106" s="45"/>
      <c r="T106" s="45"/>
      <c r="U106" s="38" t="str">
        <f t="shared" ref="U106:AB106" si="91">IF(AND(ISNUMBER(U65),ISNUMBER(U4)),U65/U4,"n/a")</f>
        <v>n/a</v>
      </c>
      <c r="V106" s="38">
        <f t="shared" si="91"/>
        <v>0.15304709141274239</v>
      </c>
      <c r="W106" s="38">
        <f t="shared" si="91"/>
        <v>0.17407322127561595</v>
      </c>
      <c r="X106" s="38">
        <f t="shared" si="91"/>
        <v>0.17752119010551806</v>
      </c>
      <c r="Y106" s="38">
        <f t="shared" si="91"/>
        <v>0.19039098875627755</v>
      </c>
      <c r="Z106" s="38">
        <f t="shared" si="91"/>
        <v>0.20392186668693471</v>
      </c>
      <c r="AA106" s="38">
        <f t="shared" si="91"/>
        <v>0.21627697045860844</v>
      </c>
      <c r="AB106" s="38">
        <f t="shared" si="91"/>
        <v>0.23669902593669412</v>
      </c>
    </row>
    <row r="108" spans="1:28">
      <c r="A108" s="34" t="s">
        <v>225</v>
      </c>
      <c r="B108" s="45" t="s">
        <v>142</v>
      </c>
      <c r="C108" s="38">
        <f t="shared" ref="C108:R108" si="92">IF(AND(ISNUMBER(C50),ISNUMBER(C4)),1-C50/C4,"n/a")</f>
        <v>0.32954545454545459</v>
      </c>
      <c r="D108" s="38">
        <f t="shared" si="92"/>
        <v>0.30586080586080588</v>
      </c>
      <c r="E108" s="38">
        <f t="shared" si="92"/>
        <v>0.29537037037037039</v>
      </c>
      <c r="F108" s="38">
        <f t="shared" si="92"/>
        <v>0.3251811594202898</v>
      </c>
      <c r="G108" s="38">
        <f t="shared" si="92"/>
        <v>0.32564841498559083</v>
      </c>
      <c r="H108" s="38">
        <f t="shared" si="92"/>
        <v>0.30594900849858353</v>
      </c>
      <c r="I108" s="38">
        <f t="shared" si="92"/>
        <v>0.30811808118081185</v>
      </c>
      <c r="J108" s="38">
        <f t="shared" si="92"/>
        <v>0.32959447799827435</v>
      </c>
      <c r="K108" s="38">
        <f t="shared" si="92"/>
        <v>0.31805682859761686</v>
      </c>
      <c r="L108" s="38">
        <f t="shared" si="92"/>
        <v>0.31837791199309751</v>
      </c>
      <c r="M108" s="38">
        <f t="shared" si="92"/>
        <v>0.31155778894472363</v>
      </c>
      <c r="N108" s="38">
        <f t="shared" si="92"/>
        <v>0.31316609280209873</v>
      </c>
      <c r="O108" s="38">
        <f t="shared" si="92"/>
        <v>0.31252155915833035</v>
      </c>
      <c r="P108" s="38">
        <f t="shared" si="92"/>
        <v>0.30850714403021839</v>
      </c>
      <c r="Q108" s="38">
        <f t="shared" si="92"/>
        <v>0.30670354702245362</v>
      </c>
      <c r="R108" s="38">
        <f t="shared" si="92"/>
        <v>0.31006732182929653</v>
      </c>
      <c r="S108" s="45"/>
      <c r="T108" s="45"/>
      <c r="U108" s="38" t="str">
        <f t="shared" ref="U108:AB108" si="93">IF(AND(ISNUMBER(U50),ISNUMBER(U4)),1-U50/U4,"n/a")</f>
        <v>n/a</v>
      </c>
      <c r="V108" s="38">
        <f t="shared" si="93"/>
        <v>0.31371191135734067</v>
      </c>
      <c r="W108" s="38">
        <f t="shared" si="93"/>
        <v>0.31752244991941059</v>
      </c>
      <c r="X108" s="38">
        <f t="shared" si="93"/>
        <v>0.31530012108631733</v>
      </c>
      <c r="Y108" s="38">
        <f t="shared" si="93"/>
        <v>0.30949718398633674</v>
      </c>
      <c r="Z108" s="38">
        <f t="shared" si="93"/>
        <v>0.30470471992095471</v>
      </c>
      <c r="AA108" s="38">
        <f t="shared" si="93"/>
        <v>0.29969732906172009</v>
      </c>
      <c r="AB108" s="38">
        <f t="shared" si="93"/>
        <v>0.29739318976987139</v>
      </c>
    </row>
    <row r="110" spans="1:28">
      <c r="A110" s="34" t="s">
        <v>226</v>
      </c>
      <c r="B110" s="45" t="s">
        <v>142</v>
      </c>
      <c r="C110" s="38">
        <f t="shared" ref="C110:R110" si="94">IF(AND(ISNUMBER(C70),ISNUMBER(C4)),C70/C4,"n/a")</f>
        <v>0.22348484848484848</v>
      </c>
      <c r="D110" s="38">
        <f t="shared" si="94"/>
        <v>0.22069597069597069</v>
      </c>
      <c r="E110" s="38">
        <f t="shared" si="94"/>
        <v>0.23055555555555557</v>
      </c>
      <c r="F110" s="38">
        <f t="shared" si="94"/>
        <v>0.23097826086956522</v>
      </c>
      <c r="G110" s="38">
        <f t="shared" si="94"/>
        <v>0.23150816522574447</v>
      </c>
      <c r="H110" s="38">
        <f t="shared" si="94"/>
        <v>0.22946175637393768</v>
      </c>
      <c r="I110" s="38">
        <f t="shared" si="94"/>
        <v>0.21033210332103322</v>
      </c>
      <c r="J110" s="38">
        <f t="shared" si="94"/>
        <v>0.20534943917169973</v>
      </c>
      <c r="K110" s="38">
        <f t="shared" si="94"/>
        <v>0.21906507791017416</v>
      </c>
      <c r="L110" s="38">
        <f t="shared" si="94"/>
        <v>0.21742881794650562</v>
      </c>
      <c r="M110" s="38">
        <f t="shared" si="94"/>
        <v>0.21356783919597988</v>
      </c>
      <c r="N110" s="38">
        <f t="shared" si="94"/>
        <v>0.2042957861944581</v>
      </c>
      <c r="O110" s="38">
        <f t="shared" si="94"/>
        <v>0.21222835460503622</v>
      </c>
      <c r="P110" s="38">
        <f t="shared" si="94"/>
        <v>0.21243225488585973</v>
      </c>
      <c r="Q110" s="38">
        <f t="shared" si="94"/>
        <v>0.20728929384965833</v>
      </c>
      <c r="R110" s="38">
        <f t="shared" si="94"/>
        <v>0.19979880832624003</v>
      </c>
      <c r="S110" s="45"/>
      <c r="T110" s="45"/>
      <c r="U110" s="38" t="str">
        <f t="shared" ref="U110:AB110" si="95">IF(AND(ISNUMBER(U70),ISNUMBER(U4)),U70/U4,"n/a")</f>
        <v>n/a</v>
      </c>
      <c r="V110" s="38">
        <f t="shared" si="95"/>
        <v>0.22668513388734995</v>
      </c>
      <c r="W110" s="38">
        <f t="shared" si="95"/>
        <v>0.21874280451300945</v>
      </c>
      <c r="X110" s="38">
        <f t="shared" si="95"/>
        <v>0.21280920256011071</v>
      </c>
      <c r="Y110" s="38">
        <f t="shared" si="95"/>
        <v>0.20738873187890125</v>
      </c>
      <c r="Z110" s="38">
        <f t="shared" si="95"/>
        <v>0.20126168579463405</v>
      </c>
      <c r="AA110" s="38">
        <f t="shared" si="95"/>
        <v>0.19447050285855888</v>
      </c>
      <c r="AB110" s="38">
        <f t="shared" si="95"/>
        <v>0.17999638627441319</v>
      </c>
    </row>
    <row r="112" spans="1:28">
      <c r="A112" s="34" t="s">
        <v>227</v>
      </c>
      <c r="B112" s="45" t="s">
        <v>142</v>
      </c>
      <c r="C112" s="38">
        <f t="shared" ref="C112:R112" si="96">IF(AND(ISNUMBER(C75),ISNUMBER(C4)),C75/C4,"n/a")</f>
        <v>0.24053030303030304</v>
      </c>
      <c r="D112" s="38">
        <f t="shared" si="96"/>
        <v>0.25183150183150182</v>
      </c>
      <c r="E112" s="38">
        <f t="shared" si="96"/>
        <v>0.24814814814814815</v>
      </c>
      <c r="F112" s="38">
        <f t="shared" si="96"/>
        <v>0.24547101449275363</v>
      </c>
      <c r="G112" s="38">
        <f t="shared" si="96"/>
        <v>0.23823246878001922</v>
      </c>
      <c r="H112" s="38">
        <f t="shared" si="96"/>
        <v>0.22757318224740322</v>
      </c>
      <c r="I112" s="38">
        <f t="shared" si="96"/>
        <v>0.23616236162361623</v>
      </c>
      <c r="J112" s="38">
        <f t="shared" si="96"/>
        <v>0.2277825711820535</v>
      </c>
      <c r="K112" s="38">
        <f t="shared" si="96"/>
        <v>0.24472960586617781</v>
      </c>
      <c r="L112" s="38">
        <f t="shared" si="96"/>
        <v>0.23986194995685936</v>
      </c>
      <c r="M112" s="38">
        <f t="shared" si="96"/>
        <v>0.23479466297002252</v>
      </c>
      <c r="N112" s="38">
        <f t="shared" si="96"/>
        <v>0.22380718150516479</v>
      </c>
      <c r="O112" s="38">
        <f t="shared" si="96"/>
        <v>0.23965160400137978</v>
      </c>
      <c r="P112" s="38">
        <f t="shared" si="96"/>
        <v>0.23320742322220397</v>
      </c>
      <c r="Q112" s="38">
        <f t="shared" si="96"/>
        <v>0.22803449397982428</v>
      </c>
      <c r="R112" s="38">
        <f t="shared" si="96"/>
        <v>0.22038226418014395</v>
      </c>
      <c r="S112" s="45"/>
      <c r="T112" s="45"/>
      <c r="U112" s="38" t="str">
        <f t="shared" ref="U112:AB112" si="97">IF(AND(ISNUMBER(U75),ISNUMBER(U4)),U75/U4,"n/a")</f>
        <v>n/a</v>
      </c>
      <c r="V112" s="38">
        <f t="shared" si="97"/>
        <v>0.24676823638042475</v>
      </c>
      <c r="W112" s="38">
        <f t="shared" si="97"/>
        <v>0.23232788395118581</v>
      </c>
      <c r="X112" s="38">
        <f t="shared" si="97"/>
        <v>0.23562099982701953</v>
      </c>
      <c r="Y112" s="38">
        <f t="shared" si="97"/>
        <v>0.22802594392371348</v>
      </c>
      <c r="Z112" s="38">
        <f t="shared" si="97"/>
        <v>0.2212700463631527</v>
      </c>
      <c r="AA112" s="38">
        <f t="shared" si="97"/>
        <v>0.21848947731737969</v>
      </c>
      <c r="AB112" s="38">
        <f t="shared" si="97"/>
        <v>0.22487228765255673</v>
      </c>
    </row>
    <row r="114" spans="1:28">
      <c r="A114" s="34" t="s">
        <v>228</v>
      </c>
      <c r="B114" s="45" t="s">
        <v>142</v>
      </c>
      <c r="C114" s="38">
        <f t="shared" ref="C114:R114" si="98">IF(AND(ISNUMBER(C70),ISNUMBER(C75),ISNUMBER(C4)),(C70+C75)/C4,"n/a")</f>
        <v>0.46401515151515149</v>
      </c>
      <c r="D114" s="38">
        <f t="shared" si="98"/>
        <v>0.47252747252747251</v>
      </c>
      <c r="E114" s="38">
        <f t="shared" si="98"/>
        <v>0.47870370370370369</v>
      </c>
      <c r="F114" s="38">
        <f t="shared" si="98"/>
        <v>0.47644927536231885</v>
      </c>
      <c r="G114" s="38">
        <f t="shared" si="98"/>
        <v>0.46974063400576371</v>
      </c>
      <c r="H114" s="38">
        <f t="shared" si="98"/>
        <v>0.45703493862134087</v>
      </c>
      <c r="I114" s="38">
        <f t="shared" si="98"/>
        <v>0.44649446494464945</v>
      </c>
      <c r="J114" s="38">
        <f t="shared" si="98"/>
        <v>0.43313201035375326</v>
      </c>
      <c r="K114" s="38">
        <f t="shared" si="98"/>
        <v>0.46379468377635197</v>
      </c>
      <c r="L114" s="38">
        <f t="shared" si="98"/>
        <v>0.45729076790336498</v>
      </c>
      <c r="M114" s="38">
        <f t="shared" si="98"/>
        <v>0.44836250216600243</v>
      </c>
      <c r="N114" s="38">
        <f t="shared" si="98"/>
        <v>0.42810296769962292</v>
      </c>
      <c r="O114" s="38">
        <f t="shared" si="98"/>
        <v>0.45187995860641605</v>
      </c>
      <c r="P114" s="38">
        <f t="shared" si="98"/>
        <v>0.44563967810806376</v>
      </c>
      <c r="Q114" s="38">
        <f t="shared" si="98"/>
        <v>0.43532378782948261</v>
      </c>
      <c r="R114" s="38">
        <f t="shared" si="98"/>
        <v>0.42018107250638398</v>
      </c>
      <c r="S114" s="45"/>
      <c r="T114" s="45"/>
      <c r="U114" s="38" t="str">
        <f t="shared" ref="U114:AB114" si="99">IF(AND(ISNUMBER(U70),ISNUMBER(U75),ISNUMBER(U4)),(U70+U75)/U4,"n/a")</f>
        <v>n/a</v>
      </c>
      <c r="V114" s="38">
        <f t="shared" si="99"/>
        <v>0.47345337026777468</v>
      </c>
      <c r="W114" s="38">
        <f t="shared" si="99"/>
        <v>0.45107068846419524</v>
      </c>
      <c r="X114" s="38">
        <f t="shared" si="99"/>
        <v>0.44843020238713027</v>
      </c>
      <c r="Y114" s="38">
        <f t="shared" si="99"/>
        <v>0.43541467580261473</v>
      </c>
      <c r="Z114" s="38">
        <f t="shared" si="99"/>
        <v>0.42253173215778667</v>
      </c>
      <c r="AA114" s="38">
        <f t="shared" si="99"/>
        <v>0.4129599801759386</v>
      </c>
      <c r="AB114" s="38">
        <f t="shared" si="99"/>
        <v>0.40486867392696996</v>
      </c>
    </row>
    <row r="116" spans="1:28">
      <c r="A116" s="34" t="s">
        <v>229</v>
      </c>
      <c r="B116" s="45" t="s">
        <v>142</v>
      </c>
      <c r="C116" s="38" t="str">
        <f t="shared" ref="C116:R116" si="100">IF(AND(ISNUMBER(C80),ISNUMBER(C4)),C80/C4,"n/a")</f>
        <v>n/a</v>
      </c>
      <c r="D116" s="38" t="str">
        <f t="shared" si="100"/>
        <v>n/a</v>
      </c>
      <c r="E116" s="38" t="str">
        <f t="shared" si="100"/>
        <v>n/a</v>
      </c>
      <c r="F116" s="38" t="str">
        <f t="shared" si="100"/>
        <v>n/a</v>
      </c>
      <c r="G116" s="38">
        <f t="shared" si="100"/>
        <v>7.0124879923150821E-2</v>
      </c>
      <c r="H116" s="38">
        <f t="shared" si="100"/>
        <v>6.5155807365439092E-2</v>
      </c>
      <c r="I116" s="38">
        <f t="shared" si="100"/>
        <v>6.4575645756457564E-2</v>
      </c>
      <c r="J116" s="38">
        <f t="shared" si="100"/>
        <v>5.4357204486626405E-2</v>
      </c>
      <c r="K116" s="38">
        <f t="shared" si="100"/>
        <v>5.4995417048579284E-2</v>
      </c>
      <c r="L116" s="38">
        <f t="shared" si="100"/>
        <v>6.2985332182916312E-2</v>
      </c>
      <c r="M116" s="38">
        <f t="shared" si="100"/>
        <v>6.4633512389533868E-2</v>
      </c>
      <c r="N116" s="38">
        <f t="shared" si="100"/>
        <v>6.058370224626989E-2</v>
      </c>
      <c r="O116" s="38">
        <f t="shared" si="100"/>
        <v>6.804070369092792E-2</v>
      </c>
      <c r="P116" s="38">
        <f t="shared" si="100"/>
        <v>6.0436853342092298E-2</v>
      </c>
      <c r="Q116" s="38">
        <f t="shared" si="100"/>
        <v>6.0201757240481608E-2</v>
      </c>
      <c r="R116" s="38">
        <f t="shared" si="100"/>
        <v>5.6720575717712607E-2</v>
      </c>
      <c r="S116" s="45"/>
      <c r="T116" s="45"/>
      <c r="U116" s="38" t="str">
        <f t="shared" ref="U116:AB116" si="101">IF(AND(ISNUMBER(U80),ISNUMBER(U4)),U80/U4,"n/a")</f>
        <v>n/a</v>
      </c>
      <c r="V116" s="38" t="str">
        <f t="shared" si="101"/>
        <v>n/a</v>
      </c>
      <c r="W116" s="38">
        <f t="shared" si="101"/>
        <v>6.3320285516923785E-2</v>
      </c>
      <c r="X116" s="38">
        <f t="shared" si="101"/>
        <v>6.097560975609756E-2</v>
      </c>
      <c r="Y116" s="38">
        <f t="shared" si="101"/>
        <v>6.0142732244881363E-2</v>
      </c>
      <c r="Z116" s="38">
        <f t="shared" si="101"/>
        <v>5.9208026145777914E-2</v>
      </c>
      <c r="AA116" s="38">
        <f t="shared" si="101"/>
        <v>5.7418977998831791E-2</v>
      </c>
      <c r="AB116" s="38">
        <f t="shared" si="101"/>
        <v>5.8065999770035646E-2</v>
      </c>
    </row>
    <row r="118" spans="1:28">
      <c r="A118" s="45" t="s">
        <v>230</v>
      </c>
      <c r="B118" s="45" t="s">
        <v>231</v>
      </c>
      <c r="C118" s="43" t="s">
        <v>146</v>
      </c>
      <c r="D118" s="43" t="s">
        <v>146</v>
      </c>
      <c r="E118" s="43" t="s">
        <v>146</v>
      </c>
      <c r="F118" s="43" t="s">
        <v>146</v>
      </c>
      <c r="G118" s="43">
        <f t="shared" ref="G118:R118" si="102">IF(AND(ISNUMBER(G100),ISNUMBER(C100)),(G100-C100)*10000,"n/a")</f>
        <v>38.970395598637573</v>
      </c>
      <c r="H118" s="43">
        <f t="shared" si="102"/>
        <v>-0.88202637777645698</v>
      </c>
      <c r="I118" s="43">
        <f t="shared" si="102"/>
        <v>-127.4771081044146</v>
      </c>
      <c r="J118" s="43">
        <f t="shared" si="102"/>
        <v>-44.133185779845483</v>
      </c>
      <c r="K118" s="43">
        <f t="shared" si="102"/>
        <v>75.915863879739703</v>
      </c>
      <c r="L118" s="43">
        <f t="shared" si="102"/>
        <v>-124.28903494513976</v>
      </c>
      <c r="M118" s="43">
        <f t="shared" si="102"/>
        <v>-34.397077639117811</v>
      </c>
      <c r="N118" s="43">
        <f t="shared" si="102"/>
        <v>164.2838519617562</v>
      </c>
      <c r="O118" s="43">
        <f t="shared" si="102"/>
        <v>55.352694392865054</v>
      </c>
      <c r="P118" s="43">
        <f t="shared" si="102"/>
        <v>98.707679628791126</v>
      </c>
      <c r="Q118" s="43">
        <f t="shared" si="102"/>
        <v>48.542419222700197</v>
      </c>
      <c r="R118" s="43">
        <f t="shared" si="102"/>
        <v>30.987709728022004</v>
      </c>
      <c r="S118" s="45"/>
      <c r="T118" s="45"/>
      <c r="U118" s="43" t="s">
        <v>146</v>
      </c>
      <c r="V118" s="43" t="str">
        <f t="shared" ref="V118:AB118" si="103">IF(AND(ISNUMBER(V100),ISNUMBER(U100)),(V100-U100)*10000,"n/a")</f>
        <v>n/a</v>
      </c>
      <c r="W118" s="43">
        <f t="shared" si="103"/>
        <v>-38.105385620699209</v>
      </c>
      <c r="X118" s="43">
        <f t="shared" si="103"/>
        <v>22.223288330932569</v>
      </c>
      <c r="Y118" s="43">
        <f t="shared" si="103"/>
        <v>58.029370999805877</v>
      </c>
      <c r="Z118" s="43">
        <f t="shared" si="103"/>
        <v>47.92464065382029</v>
      </c>
      <c r="AA118" s="43">
        <f t="shared" si="103"/>
        <v>50.073908592346285</v>
      </c>
      <c r="AB118" s="43">
        <f t="shared" si="103"/>
        <v>23.041392918486949</v>
      </c>
    </row>
    <row r="119" spans="1:28">
      <c r="A119" s="45" t="s">
        <v>232</v>
      </c>
      <c r="B119" s="45" t="s">
        <v>233</v>
      </c>
      <c r="C119" s="43" t="s">
        <v>146</v>
      </c>
      <c r="D119" s="43">
        <f t="shared" ref="D119:R119" si="104">IF(AND(ISNUMBER(D100),ISNUMBER(C100)),(D100-C100)*10000,"n/a")</f>
        <v>236.84648684648701</v>
      </c>
      <c r="E119" s="43">
        <f t="shared" si="104"/>
        <v>104.9043549043549</v>
      </c>
      <c r="F119" s="43">
        <f t="shared" si="104"/>
        <v>-298.10789049919407</v>
      </c>
      <c r="G119" s="43">
        <f t="shared" si="104"/>
        <v>-4.6725556530102796</v>
      </c>
      <c r="H119" s="43">
        <f t="shared" si="104"/>
        <v>196.99406487007298</v>
      </c>
      <c r="I119" s="43">
        <f t="shared" si="104"/>
        <v>-21.690726822283235</v>
      </c>
      <c r="J119" s="43">
        <f t="shared" si="104"/>
        <v>-214.76396817462495</v>
      </c>
      <c r="K119" s="43">
        <f t="shared" si="104"/>
        <v>115.3764940065749</v>
      </c>
      <c r="L119" s="43">
        <f t="shared" si="104"/>
        <v>-3.2108339548064802</v>
      </c>
      <c r="M119" s="43">
        <f t="shared" si="104"/>
        <v>68.201230483738712</v>
      </c>
      <c r="N119" s="43">
        <f t="shared" si="104"/>
        <v>-16.08303857375093</v>
      </c>
      <c r="O119" s="43">
        <f t="shared" si="104"/>
        <v>6.4453364376837463</v>
      </c>
      <c r="P119" s="43">
        <f t="shared" si="104"/>
        <v>40.144151281119591</v>
      </c>
      <c r="Q119" s="43">
        <f t="shared" si="104"/>
        <v>18.035970077647789</v>
      </c>
      <c r="R119" s="43">
        <f t="shared" si="104"/>
        <v>-33.637748068429119</v>
      </c>
      <c r="S119" s="45"/>
      <c r="T119" s="45"/>
      <c r="U119" s="43" t="s">
        <v>146</v>
      </c>
      <c r="V119" s="43" t="s">
        <v>146</v>
      </c>
      <c r="W119" s="43" t="s">
        <v>146</v>
      </c>
      <c r="X119" s="43" t="s">
        <v>146</v>
      </c>
      <c r="Y119" s="43" t="s">
        <v>146</v>
      </c>
      <c r="Z119" s="43" t="s">
        <v>146</v>
      </c>
      <c r="AA119" s="43" t="s">
        <v>146</v>
      </c>
      <c r="AB119" s="43" t="s">
        <v>146</v>
      </c>
    </row>
    <row r="121" spans="1:28">
      <c r="A121" s="45" t="s">
        <v>234</v>
      </c>
      <c r="B121" s="45" t="s">
        <v>231</v>
      </c>
      <c r="C121" s="43" t="s">
        <v>146</v>
      </c>
      <c r="D121" s="43" t="s">
        <v>146</v>
      </c>
      <c r="E121" s="43" t="s">
        <v>146</v>
      </c>
      <c r="F121" s="43" t="s">
        <v>146</v>
      </c>
      <c r="G121" s="43">
        <f t="shared" ref="G121:R121" si="105">IF(AND(ISNUMBER(G102),ISNUMBER(C102)),(G102-C102)*10000,"n/a")</f>
        <v>-27.890577242162262</v>
      </c>
      <c r="H121" s="43">
        <f t="shared" si="105"/>
        <v>163.48618331621185</v>
      </c>
      <c r="I121" s="43">
        <f t="shared" si="105"/>
        <v>185.39018723520567</v>
      </c>
      <c r="J121" s="43">
        <f t="shared" si="105"/>
        <v>398.0974353203037</v>
      </c>
      <c r="K121" s="43">
        <f t="shared" si="105"/>
        <v>154.14741694996431</v>
      </c>
      <c r="L121" s="43">
        <f t="shared" si="105"/>
        <v>-136.29019839805244</v>
      </c>
      <c r="M121" s="43">
        <f t="shared" si="105"/>
        <v>-44.718758572094565</v>
      </c>
      <c r="N121" s="43">
        <f t="shared" si="105"/>
        <v>180.96221095100228</v>
      </c>
      <c r="O121" s="43">
        <f t="shared" si="105"/>
        <v>154.12328091895523</v>
      </c>
      <c r="P121" s="43">
        <f t="shared" si="105"/>
        <v>218.50318917648215</v>
      </c>
      <c r="Q121" s="43">
        <f t="shared" si="105"/>
        <v>165.15229287815015</v>
      </c>
      <c r="R121" s="43">
        <f t="shared" si="105"/>
        <v>118.28286292755008</v>
      </c>
      <c r="S121" s="45"/>
      <c r="T121" s="45"/>
      <c r="U121" s="43" t="s">
        <v>146</v>
      </c>
      <c r="V121" s="43" t="str">
        <f t="shared" ref="V121:AB121" si="106">IF(AND(ISNUMBER(V102),ISNUMBER(U102)),(V102-U102)*10000,"n/a")</f>
        <v>n/a</v>
      </c>
      <c r="W121" s="43">
        <f t="shared" si="106"/>
        <v>183.41887657811722</v>
      </c>
      <c r="X121" s="43">
        <f t="shared" si="106"/>
        <v>38.17339651441376</v>
      </c>
      <c r="Y121" s="43">
        <f t="shared" si="106"/>
        <v>172.07018063498725</v>
      </c>
      <c r="Z121" s="43">
        <f t="shared" si="106"/>
        <v>127.91055709686694</v>
      </c>
      <c r="AA121" s="43">
        <f t="shared" si="106"/>
        <v>118.01438602396908</v>
      </c>
      <c r="AB121" s="43">
        <f t="shared" si="106"/>
        <v>112.04045184420031</v>
      </c>
    </row>
    <row r="122" spans="1:28">
      <c r="A122" s="45" t="s">
        <v>235</v>
      </c>
      <c r="B122" s="45" t="s">
        <v>233</v>
      </c>
      <c r="C122" s="43" t="s">
        <v>146</v>
      </c>
      <c r="D122" s="43">
        <f t="shared" ref="D122:R122" si="107">IF(AND(ISNUMBER(D102),ISNUMBER(C102)),(D102-C102)*10000,"n/a")</f>
        <v>151.72327672327651</v>
      </c>
      <c r="E122" s="43">
        <f t="shared" si="107"/>
        <v>43.142043142043171</v>
      </c>
      <c r="F122" s="43">
        <f t="shared" si="107"/>
        <v>-284.62157809983898</v>
      </c>
      <c r="G122" s="43">
        <f t="shared" si="107"/>
        <v>61.865680992357063</v>
      </c>
      <c r="H122" s="43">
        <f t="shared" si="107"/>
        <v>343.1000372816506</v>
      </c>
      <c r="I122" s="43">
        <f t="shared" si="107"/>
        <v>65.046047061037001</v>
      </c>
      <c r="J122" s="43">
        <f t="shared" si="107"/>
        <v>-71.914330014740955</v>
      </c>
      <c r="K122" s="43">
        <f t="shared" si="107"/>
        <v>-182.08433737798237</v>
      </c>
      <c r="L122" s="43">
        <f t="shared" si="107"/>
        <v>52.662421933633851</v>
      </c>
      <c r="M122" s="43">
        <f t="shared" si="107"/>
        <v>156.6174868869949</v>
      </c>
      <c r="N122" s="43">
        <f t="shared" si="107"/>
        <v>153.76663950835589</v>
      </c>
      <c r="O122" s="43">
        <f t="shared" si="107"/>
        <v>-208.92326741002941</v>
      </c>
      <c r="P122" s="43">
        <f t="shared" si="107"/>
        <v>117.04233019116079</v>
      </c>
      <c r="Q122" s="43">
        <f t="shared" si="107"/>
        <v>103.26659058866289</v>
      </c>
      <c r="R122" s="43">
        <f t="shared" si="107"/>
        <v>106.89720955775583</v>
      </c>
      <c r="S122" s="45"/>
      <c r="T122" s="45"/>
      <c r="U122" s="43" t="s">
        <v>146</v>
      </c>
      <c r="V122" s="43" t="s">
        <v>146</v>
      </c>
      <c r="W122" s="43" t="s">
        <v>146</v>
      </c>
      <c r="X122" s="43" t="s">
        <v>146</v>
      </c>
      <c r="Y122" s="43" t="s">
        <v>146</v>
      </c>
      <c r="Z122" s="43" t="s">
        <v>146</v>
      </c>
      <c r="AA122" s="43" t="s">
        <v>146</v>
      </c>
      <c r="AB122" s="43" t="s">
        <v>146</v>
      </c>
    </row>
    <row r="124" spans="1:28">
      <c r="A124" s="45" t="s">
        <v>236</v>
      </c>
      <c r="B124" s="45" t="s">
        <v>231</v>
      </c>
      <c r="C124" s="43" t="s">
        <v>146</v>
      </c>
      <c r="D124" s="43" t="s">
        <v>146</v>
      </c>
      <c r="E124" s="43" t="s">
        <v>146</v>
      </c>
      <c r="F124" s="43" t="s">
        <v>146</v>
      </c>
      <c r="G124" s="43">
        <f t="shared" ref="G124:R124" si="108">IF(AND(ISNUMBER(G104),ISNUMBER(C104)),(G104-C104)*10000,"n/a")</f>
        <v>-58.673914941926306</v>
      </c>
      <c r="H124" s="43">
        <f t="shared" si="108"/>
        <v>132.25207276198802</v>
      </c>
      <c r="I124" s="43">
        <f t="shared" si="108"/>
        <v>128.12628126281257</v>
      </c>
      <c r="J124" s="43">
        <f t="shared" si="108"/>
        <v>322.25744332320448</v>
      </c>
      <c r="K124" s="43">
        <f t="shared" si="108"/>
        <v>131.25467210105214</v>
      </c>
      <c r="L124" s="43">
        <f t="shared" si="108"/>
        <v>-169.21396045726621</v>
      </c>
      <c r="M124" s="43">
        <f t="shared" si="108"/>
        <v>-44.18165391149698</v>
      </c>
      <c r="N124" s="43">
        <f t="shared" si="108"/>
        <v>191.43154346721758</v>
      </c>
      <c r="O124" s="43">
        <f t="shared" si="108"/>
        <v>133.688123437109</v>
      </c>
      <c r="P124" s="43">
        <f t="shared" si="108"/>
        <v>219.01118454175082</v>
      </c>
      <c r="Q124" s="43">
        <f t="shared" si="108"/>
        <v>147.55191963498115</v>
      </c>
      <c r="R124" s="43">
        <f t="shared" si="108"/>
        <v>102.00491701214564</v>
      </c>
      <c r="S124" s="45"/>
      <c r="T124" s="45"/>
      <c r="U124" s="43" t="s">
        <v>146</v>
      </c>
      <c r="V124" s="43" t="str">
        <f t="shared" ref="V124:AB124" si="109">IF(AND(ISNUMBER(V104),ISNUMBER(U104)),(V104-U104)*10000,"n/a")</f>
        <v>n/a</v>
      </c>
      <c r="W124" s="43">
        <f t="shared" si="109"/>
        <v>136.05808818980159</v>
      </c>
      <c r="X124" s="43">
        <f t="shared" si="109"/>
        <v>23.606823276310362</v>
      </c>
      <c r="Y124" s="43">
        <f t="shared" si="109"/>
        <v>162.59781438284716</v>
      </c>
      <c r="Z124" s="43">
        <f t="shared" si="109"/>
        <v>125.14822441144713</v>
      </c>
      <c r="AA124" s="43">
        <f t="shared" si="109"/>
        <v>114.40962933352894</v>
      </c>
      <c r="AB124" s="43">
        <f t="shared" si="109"/>
        <v>94.381161846865396</v>
      </c>
    </row>
    <row r="125" spans="1:28">
      <c r="A125" s="45" t="s">
        <v>237</v>
      </c>
      <c r="B125" s="45" t="s">
        <v>233</v>
      </c>
      <c r="C125" s="43" t="s">
        <v>146</v>
      </c>
      <c r="D125" s="43">
        <f t="shared" ref="D125:R125" si="110">IF(AND(ISNUMBER(D104),ISNUMBER(C104)),(D104-C104)*10000,"n/a")</f>
        <v>134.24075924075908</v>
      </c>
      <c r="E125" s="43">
        <f t="shared" si="110"/>
        <v>48.840048840049221</v>
      </c>
      <c r="F125" s="43">
        <f t="shared" si="110"/>
        <v>-295.8937198067635</v>
      </c>
      <c r="G125" s="43">
        <f t="shared" si="110"/>
        <v>54.13899678402889</v>
      </c>
      <c r="H125" s="43">
        <f t="shared" si="110"/>
        <v>325.16674694467338</v>
      </c>
      <c r="I125" s="43">
        <f t="shared" si="110"/>
        <v>44.71425734087375</v>
      </c>
      <c r="J125" s="43">
        <f t="shared" si="110"/>
        <v>-101.76255774637156</v>
      </c>
      <c r="K125" s="43">
        <f t="shared" si="110"/>
        <v>-136.86377443812347</v>
      </c>
      <c r="L125" s="43">
        <f t="shared" si="110"/>
        <v>24.698114386355051</v>
      </c>
      <c r="M125" s="43">
        <f t="shared" si="110"/>
        <v>169.746563886643</v>
      </c>
      <c r="N125" s="43">
        <f t="shared" si="110"/>
        <v>133.85063963234302</v>
      </c>
      <c r="O125" s="43">
        <f t="shared" si="110"/>
        <v>-194.60719446823205</v>
      </c>
      <c r="P125" s="43">
        <f t="shared" si="110"/>
        <v>110.02117549099688</v>
      </c>
      <c r="Q125" s="43">
        <f t="shared" si="110"/>
        <v>98.287298979873313</v>
      </c>
      <c r="R125" s="43">
        <f t="shared" si="110"/>
        <v>88.303637009507497</v>
      </c>
      <c r="S125" s="45"/>
      <c r="T125" s="45"/>
      <c r="U125" s="43" t="s">
        <v>146</v>
      </c>
      <c r="V125" s="43" t="s">
        <v>146</v>
      </c>
      <c r="W125" s="43" t="s">
        <v>146</v>
      </c>
      <c r="X125" s="43" t="s">
        <v>146</v>
      </c>
      <c r="Y125" s="43" t="s">
        <v>146</v>
      </c>
      <c r="Z125" s="43" t="s">
        <v>146</v>
      </c>
      <c r="AA125" s="43" t="s">
        <v>146</v>
      </c>
      <c r="AB125" s="43" t="s">
        <v>146</v>
      </c>
    </row>
    <row r="127" spans="1:28">
      <c r="A127" s="45" t="s">
        <v>238</v>
      </c>
      <c r="B127" s="45" t="s">
        <v>231</v>
      </c>
      <c r="C127" s="43" t="s">
        <v>146</v>
      </c>
      <c r="D127" s="43" t="s">
        <v>146</v>
      </c>
      <c r="E127" s="43" t="s">
        <v>146</v>
      </c>
      <c r="F127" s="43" t="s">
        <v>146</v>
      </c>
      <c r="G127" s="43">
        <f t="shared" ref="G127:R127" si="111">IF(AND(ISNUMBER(G106),ISNUMBER(C106)),(G106-C106)*10000,"n/a")</f>
        <v>2.0740546677144867</v>
      </c>
      <c r="H127" s="43">
        <f t="shared" si="111"/>
        <v>172.41021490313284</v>
      </c>
      <c r="I127" s="43">
        <f t="shared" si="111"/>
        <v>224.443077764111</v>
      </c>
      <c r="J127" s="43">
        <f t="shared" si="111"/>
        <v>417.83896662540178</v>
      </c>
      <c r="K127" s="43">
        <f t="shared" si="111"/>
        <v>143.01802099264711</v>
      </c>
      <c r="L127" s="43">
        <f t="shared" si="111"/>
        <v>-40.191269051745024</v>
      </c>
      <c r="M127" s="43">
        <f t="shared" si="111"/>
        <v>-106.05259405565836</v>
      </c>
      <c r="N127" s="43">
        <f t="shared" si="111"/>
        <v>132.71458099822857</v>
      </c>
      <c r="O127" s="43">
        <f t="shared" si="111"/>
        <v>127.37648716694582</v>
      </c>
      <c r="P127" s="43">
        <f t="shared" si="111"/>
        <v>144.96076391166929</v>
      </c>
      <c r="Q127" s="43">
        <f t="shared" si="111"/>
        <v>157.3594771212347</v>
      </c>
      <c r="R127" s="43">
        <f t="shared" si="111"/>
        <v>112.40890444755624</v>
      </c>
      <c r="S127" s="45"/>
      <c r="T127" s="45"/>
      <c r="U127" s="43" t="s">
        <v>146</v>
      </c>
      <c r="V127" s="43" t="str">
        <f t="shared" ref="V127:AB127" si="112">IF(AND(ISNUMBER(V106),ISNUMBER(U106)),(V106-U106)*10000,"n/a")</f>
        <v>n/a</v>
      </c>
      <c r="W127" s="43">
        <f t="shared" si="112"/>
        <v>210.26129862873555</v>
      </c>
      <c r="X127" s="43">
        <f t="shared" si="112"/>
        <v>34.479688299021149</v>
      </c>
      <c r="Y127" s="43">
        <f t="shared" si="112"/>
        <v>128.69798650759489</v>
      </c>
      <c r="Z127" s="43">
        <f t="shared" si="112"/>
        <v>135.30877930657158</v>
      </c>
      <c r="AA127" s="43">
        <f t="shared" si="112"/>
        <v>123.55103771673731</v>
      </c>
      <c r="AB127" s="43">
        <f t="shared" si="112"/>
        <v>204.22055478085676</v>
      </c>
    </row>
    <row r="128" spans="1:28">
      <c r="A128" s="45" t="s">
        <v>239</v>
      </c>
      <c r="B128" s="45" t="s">
        <v>233</v>
      </c>
      <c r="C128" s="43" t="s">
        <v>146</v>
      </c>
      <c r="D128" s="43">
        <f t="shared" ref="D128:R128" si="113">IF(AND(ISNUMBER(D106),ISNUMBER(C106)),(D106-C106)*10000,"n/a")</f>
        <v>116.13386613386595</v>
      </c>
      <c r="E128" s="43">
        <f t="shared" si="113"/>
        <v>82.519332519332693</v>
      </c>
      <c r="F128" s="43">
        <f t="shared" si="113"/>
        <v>-299.11433172302742</v>
      </c>
      <c r="G128" s="43">
        <f t="shared" si="113"/>
        <v>102.53518773754328</v>
      </c>
      <c r="H128" s="43">
        <f t="shared" si="113"/>
        <v>286.47002636928431</v>
      </c>
      <c r="I128" s="43">
        <f t="shared" si="113"/>
        <v>134.55219538031082</v>
      </c>
      <c r="J128" s="43">
        <f t="shared" si="113"/>
        <v>-105.71844286173665</v>
      </c>
      <c r="K128" s="43">
        <f t="shared" si="113"/>
        <v>-172.28575789521139</v>
      </c>
      <c r="L128" s="43">
        <f t="shared" si="113"/>
        <v>103.26073632489219</v>
      </c>
      <c r="M128" s="43">
        <f t="shared" si="113"/>
        <v>68.690870376397484</v>
      </c>
      <c r="N128" s="43">
        <f t="shared" si="113"/>
        <v>133.04873219215031</v>
      </c>
      <c r="O128" s="43">
        <f t="shared" si="113"/>
        <v>-177.62385172649414</v>
      </c>
      <c r="P128" s="43">
        <f t="shared" si="113"/>
        <v>120.84501306961565</v>
      </c>
      <c r="Q128" s="43">
        <f t="shared" si="113"/>
        <v>81.089583585962913</v>
      </c>
      <c r="R128" s="43">
        <f t="shared" si="113"/>
        <v>88.098159518471832</v>
      </c>
      <c r="S128" s="45"/>
      <c r="T128" s="45"/>
      <c r="U128" s="43" t="s">
        <v>146</v>
      </c>
      <c r="V128" s="43" t="s">
        <v>146</v>
      </c>
      <c r="W128" s="43" t="s">
        <v>146</v>
      </c>
      <c r="X128" s="43" t="s">
        <v>146</v>
      </c>
      <c r="Y128" s="43" t="s">
        <v>146</v>
      </c>
      <c r="Z128" s="43" t="s">
        <v>146</v>
      </c>
      <c r="AA128" s="43" t="s">
        <v>146</v>
      </c>
      <c r="AB128" s="43" t="s">
        <v>146</v>
      </c>
    </row>
    <row r="130" spans="1:28">
      <c r="A130" s="45" t="s">
        <v>240</v>
      </c>
      <c r="B130" s="45" t="s">
        <v>231</v>
      </c>
      <c r="C130" s="43" t="s">
        <v>146</v>
      </c>
      <c r="D130" s="43" t="s">
        <v>146</v>
      </c>
      <c r="E130" s="43" t="s">
        <v>146</v>
      </c>
      <c r="F130" s="43" t="s">
        <v>146</v>
      </c>
      <c r="G130" s="43">
        <f t="shared" ref="G130:R130" si="114">IF(AND(ISNUMBER(G85),ISNUMBER(C85)),(G85-C85)*10000,"n/a")</f>
        <v>-10.000000000000009</v>
      </c>
      <c r="H130" s="43">
        <f t="shared" si="114"/>
        <v>-240.00000000000023</v>
      </c>
      <c r="I130" s="43">
        <f t="shared" si="114"/>
        <v>-129.99999999999901</v>
      </c>
      <c r="J130" s="43">
        <f t="shared" si="114"/>
        <v>-40.000000000000036</v>
      </c>
      <c r="K130" s="43">
        <f t="shared" si="114"/>
        <v>50.000000000000043</v>
      </c>
      <c r="L130" s="43">
        <f t="shared" si="114"/>
        <v>80.000000000000071</v>
      </c>
      <c r="M130" s="43">
        <f t="shared" si="114"/>
        <v>37.999999999999147</v>
      </c>
      <c r="N130" s="43">
        <f t="shared" si="114"/>
        <v>193.99999999999972</v>
      </c>
      <c r="O130" s="43">
        <f t="shared" si="114"/>
        <v>188.99999999999918</v>
      </c>
      <c r="P130" s="43">
        <f t="shared" si="114"/>
        <v>207.99999999999929</v>
      </c>
      <c r="Q130" s="43">
        <f t="shared" si="114"/>
        <v>48.000000000000263</v>
      </c>
      <c r="R130" s="43">
        <f t="shared" si="114"/>
        <v>60.000000000000057</v>
      </c>
      <c r="S130" s="45"/>
      <c r="T130" s="45"/>
      <c r="U130" s="43" t="s">
        <v>146</v>
      </c>
      <c r="V130" s="43" t="str">
        <f t="shared" ref="V130:AB130" si="115">IF(AND(ISNUMBER(V85),ISNUMBER(U85)),(V85-U85)*10000,"n/a")</f>
        <v>n/a</v>
      </c>
      <c r="W130" s="43">
        <f t="shared" si="115"/>
        <v>-100.00000000000009</v>
      </c>
      <c r="X130" s="43">
        <f t="shared" si="115"/>
        <v>139.00000000000023</v>
      </c>
      <c r="Y130" s="43">
        <f t="shared" si="115"/>
        <v>73.999999999999616</v>
      </c>
      <c r="Z130" s="43">
        <f t="shared" si="115"/>
        <v>40.999999999999929</v>
      </c>
      <c r="AA130" s="43">
        <f t="shared" si="115"/>
        <v>32.999999999999694</v>
      </c>
      <c r="AB130" s="43">
        <f t="shared" si="115"/>
        <v>2.9999999999996696</v>
      </c>
    </row>
    <row r="131" spans="1:28">
      <c r="A131" s="45" t="s">
        <v>241</v>
      </c>
      <c r="B131" s="45" t="s">
        <v>233</v>
      </c>
      <c r="C131" s="43" t="s">
        <v>146</v>
      </c>
      <c r="D131" s="43">
        <f t="shared" ref="D131:R131" si="116">IF(AND(ISNUMBER(D85),ISNUMBER(C85)),(D85-C85)*10000,"n/a")</f>
        <v>230.0000000000002</v>
      </c>
      <c r="E131" s="43">
        <f t="shared" si="116"/>
        <v>89.999999999998977</v>
      </c>
      <c r="F131" s="43">
        <f t="shared" si="116"/>
        <v>-299.99999999999915</v>
      </c>
      <c r="G131" s="43">
        <f t="shared" si="116"/>
        <v>-30.000000000000028</v>
      </c>
      <c r="H131" s="43">
        <f t="shared" si="116"/>
        <v>0</v>
      </c>
      <c r="I131" s="43">
        <f t="shared" si="116"/>
        <v>200.00000000000017</v>
      </c>
      <c r="J131" s="43">
        <f t="shared" si="116"/>
        <v>-210.0000000000002</v>
      </c>
      <c r="K131" s="43">
        <f t="shared" si="116"/>
        <v>60.000000000000057</v>
      </c>
      <c r="L131" s="43">
        <f t="shared" si="116"/>
        <v>30.000000000000028</v>
      </c>
      <c r="M131" s="43">
        <f t="shared" si="116"/>
        <v>157.99999999999926</v>
      </c>
      <c r="N131" s="43">
        <f t="shared" si="116"/>
        <v>-53.999999999999602</v>
      </c>
      <c r="O131" s="43">
        <f t="shared" si="116"/>
        <v>54.999999999999496</v>
      </c>
      <c r="P131" s="43">
        <f t="shared" si="116"/>
        <v>49.000000000000156</v>
      </c>
      <c r="Q131" s="43">
        <f t="shared" si="116"/>
        <v>-1.9999999999997797</v>
      </c>
      <c r="R131" s="43">
        <f t="shared" si="116"/>
        <v>-41.999999999999815</v>
      </c>
      <c r="S131" s="45"/>
      <c r="T131" s="45"/>
      <c r="U131" s="43" t="s">
        <v>146</v>
      </c>
      <c r="V131" s="43" t="s">
        <v>146</v>
      </c>
      <c r="W131" s="43" t="s">
        <v>146</v>
      </c>
      <c r="X131" s="43" t="s">
        <v>146</v>
      </c>
      <c r="Y131" s="43" t="s">
        <v>146</v>
      </c>
      <c r="Z131" s="43" t="s">
        <v>146</v>
      </c>
      <c r="AA131" s="43" t="s">
        <v>146</v>
      </c>
      <c r="AB131" s="43" t="s">
        <v>146</v>
      </c>
    </row>
    <row r="133" spans="1:28">
      <c r="A133" s="45" t="s">
        <v>242</v>
      </c>
      <c r="B133" s="45" t="s">
        <v>231</v>
      </c>
      <c r="C133" s="43" t="s">
        <v>146</v>
      </c>
      <c r="D133" s="43" t="s">
        <v>146</v>
      </c>
      <c r="E133" s="43" t="s">
        <v>146</v>
      </c>
      <c r="F133" s="43" t="s">
        <v>146</v>
      </c>
      <c r="G133" s="43">
        <f t="shared" ref="G133:R133" si="117">IF(AND(ISNUMBER(G87),ISNUMBER(C87)),(G87-C87)*10000,"n/a")</f>
        <v>480</v>
      </c>
      <c r="H133" s="43">
        <f t="shared" si="117"/>
        <v>-2030.0000000000002</v>
      </c>
      <c r="I133" s="43">
        <f t="shared" si="117"/>
        <v>-4760.0000000000009</v>
      </c>
      <c r="J133" s="43">
        <f t="shared" si="117"/>
        <v>159.99999999999986</v>
      </c>
      <c r="K133" s="43">
        <f t="shared" si="117"/>
        <v>340</v>
      </c>
      <c r="L133" s="43">
        <f t="shared" si="117"/>
        <v>89.999999999999801</v>
      </c>
      <c r="M133" s="43">
        <f t="shared" si="117"/>
        <v>77.000000000000128</v>
      </c>
      <c r="N133" s="43">
        <f t="shared" si="117"/>
        <v>538.00000000000011</v>
      </c>
      <c r="O133" s="43">
        <f t="shared" si="117"/>
        <v>259.99999999999994</v>
      </c>
      <c r="P133" s="43">
        <f t="shared" si="117"/>
        <v>191.99999999999994</v>
      </c>
      <c r="Q133" s="43">
        <f t="shared" si="117"/>
        <v>167.99999999999983</v>
      </c>
      <c r="R133" s="43">
        <f t="shared" si="117"/>
        <v>153.99999999999997</v>
      </c>
      <c r="S133" s="45"/>
      <c r="T133" s="45"/>
      <c r="U133" s="43" t="s">
        <v>146</v>
      </c>
      <c r="V133" s="43" t="str">
        <f t="shared" ref="V133:AB133" si="118">IF(AND(ISNUMBER(V87),ISNUMBER(U87)),(V87-U87)*10000,"n/a")</f>
        <v>n/a</v>
      </c>
      <c r="W133" s="43">
        <f t="shared" si="118"/>
        <v>-1542.0000000000002</v>
      </c>
      <c r="X133" s="43">
        <f t="shared" si="118"/>
        <v>268.00000000000017</v>
      </c>
      <c r="Y133" s="43">
        <f t="shared" si="118"/>
        <v>192.99999999999983</v>
      </c>
      <c r="Z133" s="43">
        <f t="shared" si="118"/>
        <v>181.00000000000006</v>
      </c>
      <c r="AA133" s="43">
        <f t="shared" si="118"/>
        <v>144.00000000000023</v>
      </c>
      <c r="AB133" s="43">
        <f t="shared" si="118"/>
        <v>144.99999999999957</v>
      </c>
    </row>
    <row r="134" spans="1:28">
      <c r="A134" s="45" t="s">
        <v>243</v>
      </c>
      <c r="B134" s="45" t="s">
        <v>233</v>
      </c>
      <c r="C134" s="43" t="s">
        <v>146</v>
      </c>
      <c r="D134" s="43">
        <f t="shared" ref="D134:R134" si="119">IF(AND(ISNUMBER(D87),ISNUMBER(C87)),(D87-C87)*10000,"n/a")</f>
        <v>2950.0000000000005</v>
      </c>
      <c r="E134" s="43">
        <f t="shared" si="119"/>
        <v>2810.0000000000005</v>
      </c>
      <c r="F134" s="43">
        <f t="shared" si="119"/>
        <v>-5280</v>
      </c>
      <c r="G134" s="43">
        <f t="shared" si="119"/>
        <v>0</v>
      </c>
      <c r="H134" s="43">
        <f t="shared" si="119"/>
        <v>440.00000000000011</v>
      </c>
      <c r="I134" s="43">
        <f t="shared" si="119"/>
        <v>79.999999999999787</v>
      </c>
      <c r="J134" s="43">
        <f t="shared" si="119"/>
        <v>-360.00000000000006</v>
      </c>
      <c r="K134" s="43">
        <f t="shared" si="119"/>
        <v>180.00000000000017</v>
      </c>
      <c r="L134" s="43">
        <f t="shared" si="119"/>
        <v>189.99999999999989</v>
      </c>
      <c r="M134" s="43">
        <f t="shared" si="119"/>
        <v>67.000000000000114</v>
      </c>
      <c r="N134" s="43">
        <f t="shared" si="119"/>
        <v>100.99999999999997</v>
      </c>
      <c r="O134" s="43">
        <f t="shared" si="119"/>
        <v>-98.000000000000028</v>
      </c>
      <c r="P134" s="43">
        <f t="shared" si="119"/>
        <v>121.99999999999989</v>
      </c>
      <c r="Q134" s="43">
        <f t="shared" si="119"/>
        <v>42.999999999999986</v>
      </c>
      <c r="R134" s="43">
        <f t="shared" si="119"/>
        <v>87.000000000000128</v>
      </c>
      <c r="S134" s="45"/>
      <c r="T134" s="45"/>
      <c r="U134" s="43" t="s">
        <v>146</v>
      </c>
      <c r="V134" s="43" t="s">
        <v>146</v>
      </c>
      <c r="W134" s="43" t="s">
        <v>146</v>
      </c>
      <c r="X134" s="43" t="s">
        <v>146</v>
      </c>
      <c r="Y134" s="43" t="s">
        <v>146</v>
      </c>
      <c r="Z134" s="43" t="s">
        <v>146</v>
      </c>
      <c r="AA134" s="43" t="s">
        <v>146</v>
      </c>
      <c r="AB134" s="43" t="s">
        <v>146</v>
      </c>
    </row>
    <row r="136" spans="1:28">
      <c r="A136" s="45" t="s">
        <v>244</v>
      </c>
      <c r="B136" s="45" t="s">
        <v>231</v>
      </c>
      <c r="C136" s="43" t="s">
        <v>146</v>
      </c>
      <c r="D136" s="43" t="s">
        <v>146</v>
      </c>
      <c r="E136" s="43" t="s">
        <v>146</v>
      </c>
      <c r="F136" s="43" t="s">
        <v>146</v>
      </c>
      <c r="G136" s="43">
        <f t="shared" ref="G136:R136" si="120">IF(AND(ISNUMBER(G108),ISNUMBER(C108)),(G108-C108)*10000,"n/a")</f>
        <v>-38.970395598637573</v>
      </c>
      <c r="H136" s="43">
        <f t="shared" si="120"/>
        <v>0.88202637777645698</v>
      </c>
      <c r="I136" s="43">
        <f t="shared" si="120"/>
        <v>127.4771081044146</v>
      </c>
      <c r="J136" s="43">
        <f t="shared" si="120"/>
        <v>44.133185779845483</v>
      </c>
      <c r="K136" s="43">
        <f t="shared" si="120"/>
        <v>-75.915863879739703</v>
      </c>
      <c r="L136" s="43">
        <f t="shared" si="120"/>
        <v>124.28903494513976</v>
      </c>
      <c r="M136" s="43">
        <f t="shared" si="120"/>
        <v>34.397077639117811</v>
      </c>
      <c r="N136" s="43">
        <f t="shared" si="120"/>
        <v>-164.2838519617562</v>
      </c>
      <c r="O136" s="43">
        <f t="shared" si="120"/>
        <v>-55.352694392865054</v>
      </c>
      <c r="P136" s="43">
        <f t="shared" si="120"/>
        <v>-98.707679628791126</v>
      </c>
      <c r="Q136" s="43">
        <f t="shared" si="120"/>
        <v>-48.542419222700197</v>
      </c>
      <c r="R136" s="43">
        <f t="shared" si="120"/>
        <v>-30.987709728022004</v>
      </c>
      <c r="S136" s="45"/>
      <c r="T136" s="45"/>
      <c r="U136" s="43" t="s">
        <v>146</v>
      </c>
      <c r="V136" s="43" t="str">
        <f t="shared" ref="V136:AB136" si="121">IF(AND(ISNUMBER(V108),ISNUMBER(U108)),(V108-U108)*10000,"n/a")</f>
        <v>n/a</v>
      </c>
      <c r="W136" s="43">
        <f t="shared" si="121"/>
        <v>38.105385620699209</v>
      </c>
      <c r="X136" s="43">
        <f t="shared" si="121"/>
        <v>-22.223288330932569</v>
      </c>
      <c r="Y136" s="43">
        <f t="shared" si="121"/>
        <v>-58.029370999805877</v>
      </c>
      <c r="Z136" s="43">
        <f t="shared" si="121"/>
        <v>-47.92464065382029</v>
      </c>
      <c r="AA136" s="43">
        <f t="shared" si="121"/>
        <v>-50.073908592346285</v>
      </c>
      <c r="AB136" s="43">
        <f t="shared" si="121"/>
        <v>-23.041392918486949</v>
      </c>
    </row>
    <row r="137" spans="1:28">
      <c r="A137" s="45" t="s">
        <v>245</v>
      </c>
      <c r="B137" s="45" t="s">
        <v>233</v>
      </c>
      <c r="C137" s="43" t="s">
        <v>146</v>
      </c>
      <c r="D137" s="43">
        <f t="shared" ref="D137:R137" si="122">IF(AND(ISNUMBER(D108),ISNUMBER(C108)),(D108-C108)*10000,"n/a")</f>
        <v>-236.84648684648701</v>
      </c>
      <c r="E137" s="43">
        <f t="shared" si="122"/>
        <v>-104.9043549043549</v>
      </c>
      <c r="F137" s="43">
        <f t="shared" si="122"/>
        <v>298.10789049919407</v>
      </c>
      <c r="G137" s="43">
        <f t="shared" si="122"/>
        <v>4.6725556530102796</v>
      </c>
      <c r="H137" s="43">
        <f t="shared" si="122"/>
        <v>-196.99406487007298</v>
      </c>
      <c r="I137" s="43">
        <f t="shared" si="122"/>
        <v>21.690726822283235</v>
      </c>
      <c r="J137" s="43">
        <f t="shared" si="122"/>
        <v>214.76396817462495</v>
      </c>
      <c r="K137" s="43">
        <f t="shared" si="122"/>
        <v>-115.3764940065749</v>
      </c>
      <c r="L137" s="43">
        <f t="shared" si="122"/>
        <v>3.2108339548064802</v>
      </c>
      <c r="M137" s="43">
        <f t="shared" si="122"/>
        <v>-68.201230483738712</v>
      </c>
      <c r="N137" s="43">
        <f t="shared" si="122"/>
        <v>16.08303857375093</v>
      </c>
      <c r="O137" s="43">
        <f t="shared" si="122"/>
        <v>-6.4453364376837463</v>
      </c>
      <c r="P137" s="43">
        <f t="shared" si="122"/>
        <v>-40.144151281119591</v>
      </c>
      <c r="Q137" s="43">
        <f t="shared" si="122"/>
        <v>-18.035970077647789</v>
      </c>
      <c r="R137" s="43">
        <f t="shared" si="122"/>
        <v>33.637748068429119</v>
      </c>
      <c r="S137" s="45"/>
      <c r="T137" s="45"/>
      <c r="U137" s="43" t="s">
        <v>146</v>
      </c>
      <c r="V137" s="43" t="s">
        <v>146</v>
      </c>
      <c r="W137" s="43" t="s">
        <v>146</v>
      </c>
      <c r="X137" s="43" t="s">
        <v>146</v>
      </c>
      <c r="Y137" s="43" t="s">
        <v>146</v>
      </c>
      <c r="Z137" s="43" t="s">
        <v>146</v>
      </c>
      <c r="AA137" s="43" t="s">
        <v>146</v>
      </c>
      <c r="AB137" s="43" t="s">
        <v>146</v>
      </c>
    </row>
    <row r="139" spans="1:28">
      <c r="A139" s="45" t="s">
        <v>246</v>
      </c>
      <c r="B139" s="45" t="s">
        <v>231</v>
      </c>
      <c r="C139" s="43" t="s">
        <v>146</v>
      </c>
      <c r="D139" s="43" t="s">
        <v>146</v>
      </c>
      <c r="E139" s="43" t="s">
        <v>146</v>
      </c>
      <c r="F139" s="43" t="s">
        <v>146</v>
      </c>
      <c r="G139" s="43">
        <f t="shared" ref="G139:R139" si="123">IF(AND(ISNUMBER(G110),ISNUMBER(C110)),(G110-C110)*10000,"n/a")</f>
        <v>80.233167408959858</v>
      </c>
      <c r="H139" s="43">
        <f t="shared" si="123"/>
        <v>87.657856779669856</v>
      </c>
      <c r="I139" s="43">
        <f t="shared" si="123"/>
        <v>-202.2345223452235</v>
      </c>
      <c r="J139" s="43">
        <f t="shared" si="123"/>
        <v>-256.28821697865482</v>
      </c>
      <c r="K139" s="43">
        <f t="shared" si="123"/>
        <v>-124.43087315570311</v>
      </c>
      <c r="L139" s="43">
        <f t="shared" si="123"/>
        <v>-120.32938427432055</v>
      </c>
      <c r="M139" s="43">
        <f t="shared" si="123"/>
        <v>32.357358749466606</v>
      </c>
      <c r="N139" s="43">
        <f t="shared" si="123"/>
        <v>-10.536529772416369</v>
      </c>
      <c r="O139" s="43">
        <f t="shared" si="123"/>
        <v>-68.367233051379316</v>
      </c>
      <c r="P139" s="43">
        <f t="shared" si="123"/>
        <v>-49.965630606458866</v>
      </c>
      <c r="Q139" s="43">
        <f t="shared" si="123"/>
        <v>-62.785453463215511</v>
      </c>
      <c r="R139" s="43">
        <f t="shared" si="123"/>
        <v>-44.96977868218066</v>
      </c>
      <c r="S139" s="45"/>
      <c r="T139" s="45"/>
      <c r="U139" s="43" t="s">
        <v>146</v>
      </c>
      <c r="V139" s="43" t="str">
        <f t="shared" ref="V139:AB139" si="124">IF(AND(ISNUMBER(V110),ISNUMBER(U110)),(V110-U110)*10000,"n/a")</f>
        <v>n/a</v>
      </c>
      <c r="W139" s="43">
        <f t="shared" si="124"/>
        <v>-79.423293743405011</v>
      </c>
      <c r="X139" s="43">
        <f t="shared" si="124"/>
        <v>-59.336019528987428</v>
      </c>
      <c r="Y139" s="43">
        <f t="shared" si="124"/>
        <v>-54.204706812094607</v>
      </c>
      <c r="Z139" s="43">
        <f t="shared" si="124"/>
        <v>-61.270460842672016</v>
      </c>
      <c r="AA139" s="43">
        <f t="shared" si="124"/>
        <v>-67.911829360751682</v>
      </c>
      <c r="AB139" s="43">
        <f t="shared" si="124"/>
        <v>-144.74116584145685</v>
      </c>
    </row>
    <row r="140" spans="1:28">
      <c r="A140" s="45" t="s">
        <v>247</v>
      </c>
      <c r="B140" s="45" t="s">
        <v>233</v>
      </c>
      <c r="C140" s="43" t="s">
        <v>146</v>
      </c>
      <c r="D140" s="43">
        <f t="shared" ref="D140:R140" si="125">IF(AND(ISNUMBER(D110),ISNUMBER(C110)),(D110-C110)*10000,"n/a")</f>
        <v>-27.888777888777916</v>
      </c>
      <c r="E140" s="43">
        <f t="shared" si="125"/>
        <v>98.595848595848807</v>
      </c>
      <c r="F140" s="43">
        <f t="shared" si="125"/>
        <v>4.227053140096471</v>
      </c>
      <c r="G140" s="43">
        <f t="shared" si="125"/>
        <v>5.2990435617925051</v>
      </c>
      <c r="H140" s="43">
        <f t="shared" si="125"/>
        <v>-20.464088518067914</v>
      </c>
      <c r="I140" s="43">
        <f t="shared" si="125"/>
        <v>-191.29653052904456</v>
      </c>
      <c r="J140" s="43">
        <f t="shared" si="125"/>
        <v>-49.826641493334876</v>
      </c>
      <c r="K140" s="43">
        <f t="shared" si="125"/>
        <v>137.15638738474422</v>
      </c>
      <c r="L140" s="43">
        <f t="shared" si="125"/>
        <v>-16.362599636685349</v>
      </c>
      <c r="M140" s="43">
        <f t="shared" si="125"/>
        <v>-38.609787505257401</v>
      </c>
      <c r="N140" s="43">
        <f t="shared" si="125"/>
        <v>-92.720530015217847</v>
      </c>
      <c r="O140" s="43">
        <f t="shared" si="125"/>
        <v>79.325684105781278</v>
      </c>
      <c r="P140" s="43">
        <f t="shared" si="125"/>
        <v>2.0390028082351019</v>
      </c>
      <c r="Q140" s="43">
        <f t="shared" si="125"/>
        <v>-51.429610362014046</v>
      </c>
      <c r="R140" s="43">
        <f t="shared" si="125"/>
        <v>-74.904855234183003</v>
      </c>
      <c r="S140" s="45"/>
      <c r="T140" s="45"/>
      <c r="U140" s="43" t="s">
        <v>146</v>
      </c>
      <c r="V140" s="43" t="s">
        <v>146</v>
      </c>
      <c r="W140" s="43" t="s">
        <v>146</v>
      </c>
      <c r="X140" s="43" t="s">
        <v>146</v>
      </c>
      <c r="Y140" s="43" t="s">
        <v>146</v>
      </c>
      <c r="Z140" s="43" t="s">
        <v>146</v>
      </c>
      <c r="AA140" s="43" t="s">
        <v>146</v>
      </c>
      <c r="AB140" s="43" t="s">
        <v>146</v>
      </c>
    </row>
    <row r="142" spans="1:28">
      <c r="A142" s="45" t="s">
        <v>248</v>
      </c>
      <c r="B142" s="45" t="s">
        <v>231</v>
      </c>
      <c r="C142" s="43" t="s">
        <v>146</v>
      </c>
      <c r="D142" s="43" t="s">
        <v>146</v>
      </c>
      <c r="E142" s="43" t="s">
        <v>146</v>
      </c>
      <c r="F142" s="43" t="s">
        <v>146</v>
      </c>
      <c r="G142" s="43">
        <f t="shared" ref="G142:R142" si="126">IF(AND(ISNUMBER(G112),ISNUMBER(C112)),(G112-C112)*10000,"n/a")</f>
        <v>-22.978342502838199</v>
      </c>
      <c r="H142" s="43">
        <f t="shared" si="126"/>
        <v>-242.58319584098604</v>
      </c>
      <c r="I142" s="43">
        <f t="shared" si="126"/>
        <v>-119.85786524531916</v>
      </c>
      <c r="J142" s="43">
        <f t="shared" si="126"/>
        <v>-176.88443310700131</v>
      </c>
      <c r="K142" s="43">
        <f t="shared" si="126"/>
        <v>64.971370861585939</v>
      </c>
      <c r="L142" s="43">
        <f t="shared" si="126"/>
        <v>122.88767709456138</v>
      </c>
      <c r="M142" s="43">
        <f t="shared" si="126"/>
        <v>-13.676986535937075</v>
      </c>
      <c r="N142" s="43">
        <f t="shared" si="126"/>
        <v>-39.753896768887074</v>
      </c>
      <c r="O142" s="43">
        <f t="shared" si="126"/>
        <v>-50.780018647980377</v>
      </c>
      <c r="P142" s="43">
        <f t="shared" si="126"/>
        <v>-66.545267346553857</v>
      </c>
      <c r="Q142" s="43">
        <f t="shared" si="126"/>
        <v>-67.601689901982397</v>
      </c>
      <c r="R142" s="43">
        <f t="shared" si="126"/>
        <v>-34.249173250208429</v>
      </c>
      <c r="S142" s="45"/>
      <c r="T142" s="45"/>
      <c r="U142" s="43" t="s">
        <v>146</v>
      </c>
      <c r="V142" s="43" t="str">
        <f t="shared" ref="V142:AB142" si="127">IF(AND(ISNUMBER(V112),ISNUMBER(U112)),(V112-U112)*10000,"n/a")</f>
        <v>n/a</v>
      </c>
      <c r="W142" s="43">
        <f t="shared" si="127"/>
        <v>-144.40352429238939</v>
      </c>
      <c r="X142" s="43">
        <f t="shared" si="127"/>
        <v>32.93115875833724</v>
      </c>
      <c r="Y142" s="43">
        <f t="shared" si="127"/>
        <v>-75.950559033060586</v>
      </c>
      <c r="Z142" s="43">
        <f t="shared" si="127"/>
        <v>-67.558975605607756</v>
      </c>
      <c r="AA142" s="43">
        <f t="shared" si="127"/>
        <v>-27.805690457730069</v>
      </c>
      <c r="AB142" s="43">
        <f t="shared" si="127"/>
        <v>63.828103351770416</v>
      </c>
    </row>
    <row r="143" spans="1:28">
      <c r="A143" s="45" t="s">
        <v>249</v>
      </c>
      <c r="B143" s="45" t="s">
        <v>233</v>
      </c>
      <c r="C143" s="43" t="s">
        <v>146</v>
      </c>
      <c r="D143" s="43">
        <f t="shared" ref="D143:R143" si="128">IF(AND(ISNUMBER(D112),ISNUMBER(C112)),(D112-C112)*10000,"n/a")</f>
        <v>113.01198801198787</v>
      </c>
      <c r="E143" s="43">
        <f t="shared" si="128"/>
        <v>-36.833536833536797</v>
      </c>
      <c r="F143" s="43">
        <f t="shared" si="128"/>
        <v>-26.771336553945147</v>
      </c>
      <c r="G143" s="43">
        <f t="shared" si="128"/>
        <v>-72.385457127344125</v>
      </c>
      <c r="H143" s="43">
        <f t="shared" si="128"/>
        <v>-106.59286532615997</v>
      </c>
      <c r="I143" s="43">
        <f t="shared" si="128"/>
        <v>85.891793762130078</v>
      </c>
      <c r="J143" s="43">
        <f t="shared" si="128"/>
        <v>-83.797904415627286</v>
      </c>
      <c r="K143" s="43">
        <f t="shared" si="128"/>
        <v>169.47034684124313</v>
      </c>
      <c r="L143" s="43">
        <f t="shared" si="128"/>
        <v>-48.676559093184522</v>
      </c>
      <c r="M143" s="43">
        <f t="shared" si="128"/>
        <v>-50.672869868368387</v>
      </c>
      <c r="N143" s="43">
        <f t="shared" si="128"/>
        <v>-109.87481464857728</v>
      </c>
      <c r="O143" s="43">
        <f t="shared" si="128"/>
        <v>158.44422496214983</v>
      </c>
      <c r="P143" s="43">
        <f t="shared" si="128"/>
        <v>-64.441807791758009</v>
      </c>
      <c r="Q143" s="43">
        <f t="shared" si="128"/>
        <v>-51.729292423796927</v>
      </c>
      <c r="R143" s="43">
        <f t="shared" si="128"/>
        <v>-76.522297996803317</v>
      </c>
      <c r="S143" s="45"/>
      <c r="T143" s="45"/>
      <c r="U143" s="43" t="s">
        <v>146</v>
      </c>
      <c r="V143" s="43" t="s">
        <v>146</v>
      </c>
      <c r="W143" s="43" t="s">
        <v>146</v>
      </c>
      <c r="X143" s="43" t="s">
        <v>146</v>
      </c>
      <c r="Y143" s="43" t="s">
        <v>146</v>
      </c>
      <c r="Z143" s="43" t="s">
        <v>146</v>
      </c>
      <c r="AA143" s="43" t="s">
        <v>146</v>
      </c>
      <c r="AB143" s="43" t="s">
        <v>146</v>
      </c>
    </row>
    <row r="145" spans="1:28">
      <c r="A145" s="45" t="s">
        <v>250</v>
      </c>
      <c r="B145" s="45" t="s">
        <v>231</v>
      </c>
      <c r="C145" s="43" t="s">
        <v>146</v>
      </c>
      <c r="D145" s="43" t="s">
        <v>146</v>
      </c>
      <c r="E145" s="43" t="s">
        <v>146</v>
      </c>
      <c r="F145" s="43" t="s">
        <v>146</v>
      </c>
      <c r="G145" s="43">
        <f t="shared" ref="G145:R145" si="129">IF(AND(ISNUMBER(G114),ISNUMBER(C114)),(G114-C114)*10000,"n/a")</f>
        <v>57.254824906122217</v>
      </c>
      <c r="H145" s="43">
        <f t="shared" si="129"/>
        <v>-154.92533906131644</v>
      </c>
      <c r="I145" s="43">
        <f t="shared" si="129"/>
        <v>-322.09238759054239</v>
      </c>
      <c r="J145" s="43">
        <f t="shared" si="129"/>
        <v>-433.17265008565585</v>
      </c>
      <c r="K145" s="43">
        <f t="shared" si="129"/>
        <v>-59.459502294117449</v>
      </c>
      <c r="L145" s="43">
        <f t="shared" si="129"/>
        <v>2.5582928202411148</v>
      </c>
      <c r="M145" s="43">
        <f t="shared" si="129"/>
        <v>18.680372213529807</v>
      </c>
      <c r="N145" s="43">
        <f t="shared" si="129"/>
        <v>-50.290426541303447</v>
      </c>
      <c r="O145" s="43">
        <f t="shared" si="129"/>
        <v>-119.14725169935913</v>
      </c>
      <c r="P145" s="43">
        <f t="shared" si="129"/>
        <v>-116.51089795301218</v>
      </c>
      <c r="Q145" s="43">
        <f t="shared" si="129"/>
        <v>-130.3871433651982</v>
      </c>
      <c r="R145" s="43">
        <f t="shared" si="129"/>
        <v>-79.218951932389373</v>
      </c>
      <c r="S145" s="45"/>
      <c r="T145" s="45"/>
      <c r="U145" s="43" t="s">
        <v>146</v>
      </c>
      <c r="V145" s="43" t="str">
        <f t="shared" ref="V145:AB145" si="130">IF(AND(ISNUMBER(V114),ISNUMBER(U114)),(V114-U114)*10000,"n/a")</f>
        <v>n/a</v>
      </c>
      <c r="W145" s="43">
        <f t="shared" si="130"/>
        <v>-223.82681803579442</v>
      </c>
      <c r="X145" s="43">
        <f t="shared" si="130"/>
        <v>-26.404860770649631</v>
      </c>
      <c r="Y145" s="43">
        <f t="shared" si="130"/>
        <v>-130.15526584515547</v>
      </c>
      <c r="Z145" s="43">
        <f t="shared" si="130"/>
        <v>-128.8294364482806</v>
      </c>
      <c r="AA145" s="43">
        <f t="shared" si="130"/>
        <v>-95.717519818480639</v>
      </c>
      <c r="AB145" s="43">
        <f t="shared" si="130"/>
        <v>-80.913062489686439</v>
      </c>
    </row>
    <row r="146" spans="1:28">
      <c r="A146" s="45" t="s">
        <v>251</v>
      </c>
      <c r="B146" s="45" t="s">
        <v>233</v>
      </c>
      <c r="C146" s="43" t="s">
        <v>146</v>
      </c>
      <c r="D146" s="43">
        <f t="shared" ref="D146:R146" si="131">IF(AND(ISNUMBER(D114),ISNUMBER(C114)),(D114-C114)*10000,"n/a")</f>
        <v>85.123210123210228</v>
      </c>
      <c r="E146" s="43">
        <f t="shared" si="131"/>
        <v>61.762311762311725</v>
      </c>
      <c r="F146" s="43">
        <f t="shared" si="131"/>
        <v>-22.544283413848397</v>
      </c>
      <c r="G146" s="43">
        <f t="shared" si="131"/>
        <v>-67.086413565551339</v>
      </c>
      <c r="H146" s="43">
        <f t="shared" si="131"/>
        <v>-127.05695384422843</v>
      </c>
      <c r="I146" s="43">
        <f t="shared" si="131"/>
        <v>-105.4047367669142</v>
      </c>
      <c r="J146" s="43">
        <f t="shared" si="131"/>
        <v>-133.62454590896189</v>
      </c>
      <c r="K146" s="43">
        <f t="shared" si="131"/>
        <v>306.62673422598709</v>
      </c>
      <c r="L146" s="43">
        <f t="shared" si="131"/>
        <v>-65.039158729869868</v>
      </c>
      <c r="M146" s="43">
        <f t="shared" si="131"/>
        <v>-89.282657373625511</v>
      </c>
      <c r="N146" s="43">
        <f t="shared" si="131"/>
        <v>-202.59534466379515</v>
      </c>
      <c r="O146" s="43">
        <f t="shared" si="131"/>
        <v>237.76990906793139</v>
      </c>
      <c r="P146" s="43">
        <f t="shared" si="131"/>
        <v>-62.402804983522906</v>
      </c>
      <c r="Q146" s="43">
        <f t="shared" si="131"/>
        <v>-103.15890278581152</v>
      </c>
      <c r="R146" s="43">
        <f t="shared" si="131"/>
        <v>-151.42715323098633</v>
      </c>
      <c r="S146" s="45"/>
      <c r="T146" s="45"/>
      <c r="U146" s="43" t="s">
        <v>146</v>
      </c>
      <c r="V146" s="43" t="s">
        <v>146</v>
      </c>
      <c r="W146" s="43" t="s">
        <v>146</v>
      </c>
      <c r="X146" s="43" t="s">
        <v>146</v>
      </c>
      <c r="Y146" s="43" t="s">
        <v>146</v>
      </c>
      <c r="Z146" s="43" t="s">
        <v>146</v>
      </c>
      <c r="AA146" s="43" t="s">
        <v>146</v>
      </c>
      <c r="AB146" s="43" t="s">
        <v>146</v>
      </c>
    </row>
    <row r="148" spans="1:28">
      <c r="A148" s="45" t="s">
        <v>252</v>
      </c>
      <c r="B148" s="45" t="s">
        <v>231</v>
      </c>
      <c r="C148" s="43" t="s">
        <v>146</v>
      </c>
      <c r="D148" s="43" t="s">
        <v>146</v>
      </c>
      <c r="E148" s="43" t="s">
        <v>146</v>
      </c>
      <c r="F148" s="43" t="s">
        <v>146</v>
      </c>
      <c r="G148" s="43" t="str">
        <f t="shared" ref="G148:R148" si="132">IF(AND(ISNUMBER(G116),ISNUMBER(C116)),(G116-C116)*10000,"n/a")</f>
        <v>n/a</v>
      </c>
      <c r="H148" s="43" t="str">
        <f t="shared" si="132"/>
        <v>n/a</v>
      </c>
      <c r="I148" s="43" t="str">
        <f t="shared" si="132"/>
        <v>n/a</v>
      </c>
      <c r="J148" s="43" t="str">
        <f t="shared" si="132"/>
        <v>n/a</v>
      </c>
      <c r="K148" s="43">
        <f t="shared" si="132"/>
        <v>-151.29462874571536</v>
      </c>
      <c r="L148" s="43">
        <f t="shared" si="132"/>
        <v>-21.704751825227795</v>
      </c>
      <c r="M148" s="43">
        <f t="shared" si="132"/>
        <v>0.57866633076303353</v>
      </c>
      <c r="N148" s="43">
        <f t="shared" si="132"/>
        <v>62.264977596434846</v>
      </c>
      <c r="O148" s="43">
        <f t="shared" si="132"/>
        <v>130.45286642348637</v>
      </c>
      <c r="P148" s="43">
        <f t="shared" si="132"/>
        <v>-25.484788408240146</v>
      </c>
      <c r="Q148" s="43">
        <f t="shared" si="132"/>
        <v>-44.31755149052259</v>
      </c>
      <c r="R148" s="43">
        <f t="shared" si="132"/>
        <v>-38.63126528557283</v>
      </c>
      <c r="S148" s="45"/>
      <c r="T148" s="45"/>
      <c r="U148" s="43" t="s">
        <v>146</v>
      </c>
      <c r="V148" s="43" t="str">
        <f t="shared" ref="V148:AB148" si="133">IF(AND(ISNUMBER(V116),ISNUMBER(U116)),(V116-U116)*10000,"n/a")</f>
        <v>n/a</v>
      </c>
      <c r="W148" s="43" t="str">
        <f t="shared" si="133"/>
        <v>n/a</v>
      </c>
      <c r="X148" s="43">
        <f t="shared" si="133"/>
        <v>-23.44675760826226</v>
      </c>
      <c r="Y148" s="43">
        <f t="shared" si="133"/>
        <v>-8.3287751121619706</v>
      </c>
      <c r="Z148" s="43">
        <f t="shared" si="133"/>
        <v>-9.3470609910344802</v>
      </c>
      <c r="AA148" s="43">
        <f t="shared" si="133"/>
        <v>-17.890481469461232</v>
      </c>
      <c r="AB148" s="43">
        <f t="shared" si="133"/>
        <v>6.4702177120385533</v>
      </c>
    </row>
    <row r="149" spans="1:28">
      <c r="A149" s="45" t="s">
        <v>253</v>
      </c>
      <c r="B149" s="45" t="s">
        <v>233</v>
      </c>
      <c r="C149" s="43" t="s">
        <v>146</v>
      </c>
      <c r="D149" s="43" t="str">
        <f t="shared" ref="D149:R149" si="134">IF(AND(ISNUMBER(D116),ISNUMBER(C116)),(D116-C116)*10000,"n/a")</f>
        <v>n/a</v>
      </c>
      <c r="E149" s="43" t="str">
        <f t="shared" si="134"/>
        <v>n/a</v>
      </c>
      <c r="F149" s="43" t="str">
        <f t="shared" si="134"/>
        <v>n/a</v>
      </c>
      <c r="G149" s="43" t="str">
        <f t="shared" si="134"/>
        <v>n/a</v>
      </c>
      <c r="H149" s="43">
        <f t="shared" si="134"/>
        <v>-49.690725577117291</v>
      </c>
      <c r="I149" s="43">
        <f t="shared" si="134"/>
        <v>-5.8016160898152762</v>
      </c>
      <c r="J149" s="43">
        <f t="shared" si="134"/>
        <v>-102.18441269831159</v>
      </c>
      <c r="K149" s="43">
        <f t="shared" si="134"/>
        <v>6.3821256195287921</v>
      </c>
      <c r="L149" s="43">
        <f t="shared" si="134"/>
        <v>79.899151343370278</v>
      </c>
      <c r="M149" s="43">
        <f t="shared" si="134"/>
        <v>16.481802066175554</v>
      </c>
      <c r="N149" s="43">
        <f t="shared" si="134"/>
        <v>-40.498101432639778</v>
      </c>
      <c r="O149" s="43">
        <f t="shared" si="134"/>
        <v>74.570014446580302</v>
      </c>
      <c r="P149" s="43">
        <f t="shared" si="134"/>
        <v>-76.038503488356227</v>
      </c>
      <c r="Q149" s="43">
        <f t="shared" si="134"/>
        <v>-2.3509610161068921</v>
      </c>
      <c r="R149" s="43">
        <f t="shared" si="134"/>
        <v>-34.811815227690019</v>
      </c>
      <c r="S149" s="45"/>
      <c r="T149" s="45"/>
      <c r="U149" s="43" t="s">
        <v>146</v>
      </c>
      <c r="V149" s="43" t="s">
        <v>146</v>
      </c>
      <c r="W149" s="43" t="s">
        <v>146</v>
      </c>
      <c r="X149" s="43" t="s">
        <v>146</v>
      </c>
      <c r="Y149" s="43" t="s">
        <v>146</v>
      </c>
      <c r="Z149" s="43" t="s">
        <v>146</v>
      </c>
      <c r="AA149" s="43" t="s">
        <v>146</v>
      </c>
      <c r="AB149" s="43" t="s">
        <v>146</v>
      </c>
    </row>
    <row r="151" spans="1:28">
      <c r="A151" s="45" t="s">
        <v>254</v>
      </c>
      <c r="B151" s="45" t="s">
        <v>231</v>
      </c>
      <c r="C151" s="43" t="s">
        <v>146</v>
      </c>
      <c r="D151" s="43" t="s">
        <v>146</v>
      </c>
      <c r="E151" s="43" t="s">
        <v>146</v>
      </c>
      <c r="F151" s="43" t="s">
        <v>146</v>
      </c>
      <c r="G151" s="43">
        <f t="shared" ref="G151:R151" si="135">IF(AND(ISNUMBER(G89),ISNUMBER(C89)),(G89-C89)*10000,"n/a")</f>
        <v>-300</v>
      </c>
      <c r="H151" s="43">
        <f t="shared" si="135"/>
        <v>-199.99999999999989</v>
      </c>
      <c r="I151" s="43">
        <f t="shared" si="135"/>
        <v>-239.99999999999994</v>
      </c>
      <c r="J151" s="43">
        <f t="shared" si="135"/>
        <v>-419.99999999999983</v>
      </c>
      <c r="K151" s="43">
        <f t="shared" si="135"/>
        <v>-150.00000000000014</v>
      </c>
      <c r="L151" s="43">
        <f t="shared" si="135"/>
        <v>-170.00000000000014</v>
      </c>
      <c r="M151" s="43">
        <f t="shared" si="135"/>
        <v>179.99999999999989</v>
      </c>
      <c r="N151" s="43">
        <f t="shared" si="135"/>
        <v>89.999999999999801</v>
      </c>
      <c r="O151" s="43">
        <f t="shared" si="135"/>
        <v>-5.0000000000000044</v>
      </c>
      <c r="P151" s="43">
        <f t="shared" si="135"/>
        <v>-10.000000000000009</v>
      </c>
      <c r="Q151" s="43">
        <f t="shared" si="135"/>
        <v>1.0000000000001674</v>
      </c>
      <c r="R151" s="43">
        <f t="shared" si="135"/>
        <v>1.0000000000001674</v>
      </c>
      <c r="S151" s="45"/>
      <c r="T151" s="45"/>
      <c r="U151" s="43" t="s">
        <v>146</v>
      </c>
      <c r="V151" s="43" t="str">
        <f t="shared" ref="V151:AB151" si="136">IF(AND(ISNUMBER(V89),ISNUMBER(U89)),(V89-U89)*10000,"n/a")</f>
        <v>n/a</v>
      </c>
      <c r="W151" s="43">
        <f t="shared" si="136"/>
        <v>-310</v>
      </c>
      <c r="X151" s="43">
        <f t="shared" si="136"/>
        <v>-0.99999999999988987</v>
      </c>
      <c r="Y151" s="43">
        <f t="shared" si="136"/>
        <v>-2.9999999999999472</v>
      </c>
      <c r="Z151" s="43">
        <f t="shared" si="136"/>
        <v>-2.9999999999999472</v>
      </c>
      <c r="AA151" s="43">
        <f t="shared" si="136"/>
        <v>21.999999999999797</v>
      </c>
      <c r="AB151" s="43">
        <f t="shared" si="136"/>
        <v>47.000000000000099</v>
      </c>
    </row>
    <row r="152" spans="1:28">
      <c r="A152" s="45" t="s">
        <v>255</v>
      </c>
      <c r="B152" s="45" t="s">
        <v>233</v>
      </c>
      <c r="C152" s="43" t="s">
        <v>146</v>
      </c>
      <c r="D152" s="43">
        <f t="shared" ref="D152:R152" si="137">IF(AND(ISNUMBER(D89),ISNUMBER(C89)),(D89-C89)*10000,"n/a")</f>
        <v>-80.000000000000071</v>
      </c>
      <c r="E152" s="43">
        <f t="shared" si="137"/>
        <v>-320</v>
      </c>
      <c r="F152" s="43">
        <f t="shared" si="137"/>
        <v>269.99999999999994</v>
      </c>
      <c r="G152" s="43">
        <f t="shared" si="137"/>
        <v>-169.99999999999989</v>
      </c>
      <c r="H152" s="43">
        <f t="shared" si="137"/>
        <v>20.000000000000018</v>
      </c>
      <c r="I152" s="43">
        <f t="shared" si="137"/>
        <v>-360.00000000000006</v>
      </c>
      <c r="J152" s="43">
        <f t="shared" si="137"/>
        <v>90.000000000000085</v>
      </c>
      <c r="K152" s="43">
        <f t="shared" si="137"/>
        <v>99.999999999999815</v>
      </c>
      <c r="L152" s="43">
        <f t="shared" si="137"/>
        <v>0</v>
      </c>
      <c r="M152" s="43">
        <f t="shared" si="137"/>
        <v>-10.000000000000009</v>
      </c>
      <c r="N152" s="43">
        <f t="shared" si="137"/>
        <v>0</v>
      </c>
      <c r="O152" s="43">
        <f t="shared" si="137"/>
        <v>5.0000000000000044</v>
      </c>
      <c r="P152" s="43">
        <f t="shared" si="137"/>
        <v>-5.0000000000000044</v>
      </c>
      <c r="Q152" s="43">
        <f t="shared" si="137"/>
        <v>1.0000000000001674</v>
      </c>
      <c r="R152" s="43">
        <f t="shared" si="137"/>
        <v>0</v>
      </c>
      <c r="S152" s="45"/>
      <c r="T152" s="45"/>
      <c r="U152" s="43" t="s">
        <v>146</v>
      </c>
      <c r="V152" s="43" t="s">
        <v>146</v>
      </c>
      <c r="W152" s="43" t="s">
        <v>146</v>
      </c>
      <c r="X152" s="43" t="s">
        <v>146</v>
      </c>
      <c r="Y152" s="43" t="s">
        <v>146</v>
      </c>
      <c r="Z152" s="43" t="s">
        <v>146</v>
      </c>
      <c r="AA152" s="43" t="s">
        <v>146</v>
      </c>
      <c r="AB152" s="43" t="s">
        <v>146</v>
      </c>
    </row>
    <row r="154" spans="1:28">
      <c r="A154" s="45" t="s">
        <v>256</v>
      </c>
      <c r="B154" s="44">
        <v>0.3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spans="1:28">
      <c r="A155" s="34" t="s">
        <v>257</v>
      </c>
      <c r="B155" s="45"/>
      <c r="C155" s="38" t="str">
        <f t="shared" ref="C155:R155" si="138">IF(AND(ISNUMBER(C35)),(1+C35)/(1+$B$154)-1,"n/a")</f>
        <v>n/a</v>
      </c>
      <c r="D155" s="38" t="str">
        <f t="shared" si="138"/>
        <v>n/a</v>
      </c>
      <c r="E155" s="38">
        <f t="shared" si="138"/>
        <v>-0.17271407837445574</v>
      </c>
      <c r="F155" s="38">
        <f t="shared" si="138"/>
        <v>-0.21272276110985788</v>
      </c>
      <c r="G155" s="38">
        <f t="shared" si="138"/>
        <v>-0.23187286171504251</v>
      </c>
      <c r="H155" s="38">
        <f t="shared" si="138"/>
        <v>-0.2276380336081828</v>
      </c>
      <c r="I155" s="38">
        <f t="shared" si="138"/>
        <v>-0.22454064154469011</v>
      </c>
      <c r="J155" s="38">
        <f t="shared" si="138"/>
        <v>-0.16795239144809349</v>
      </c>
      <c r="K155" s="38">
        <f t="shared" si="138"/>
        <v>-0.19761273209549068</v>
      </c>
      <c r="L155" s="38">
        <f t="shared" si="138"/>
        <v>-0.19438669438669431</v>
      </c>
      <c r="M155" s="38">
        <f t="shared" si="138"/>
        <v>-0.18731335598805476</v>
      </c>
      <c r="N155" s="38">
        <f t="shared" si="138"/>
        <v>-0.16974019358125314</v>
      </c>
      <c r="O155" s="38">
        <f t="shared" si="138"/>
        <v>-0.16073320618775155</v>
      </c>
      <c r="P155" s="38">
        <f t="shared" si="138"/>
        <v>-0.16734491315136479</v>
      </c>
      <c r="Q155" s="38">
        <f t="shared" si="138"/>
        <v>-0.16195563179851069</v>
      </c>
      <c r="R155" s="38">
        <f t="shared" si="138"/>
        <v>-0.16167155951178525</v>
      </c>
      <c r="S155" s="45"/>
      <c r="T155" s="45"/>
      <c r="U155" s="38" t="str">
        <f t="shared" ref="U155:AB155" si="139">IF(AND(ISNUMBER(U35)),(1+U35)/(1+$B$154)-1,"n/a")</f>
        <v>n/a</v>
      </c>
      <c r="V155" s="38">
        <f t="shared" si="139"/>
        <v>-0.20816101461262759</v>
      </c>
      <c r="W155" s="38">
        <f t="shared" si="139"/>
        <v>-0.21282408399400043</v>
      </c>
      <c r="X155" s="38">
        <f t="shared" si="139"/>
        <v>-0.18747873426335493</v>
      </c>
      <c r="Y155" s="38">
        <f t="shared" si="139"/>
        <v>-0.16287552159218188</v>
      </c>
      <c r="Z155" s="38">
        <f t="shared" si="139"/>
        <v>-0.1588644601905318</v>
      </c>
      <c r="AA155" s="38">
        <f t="shared" si="139"/>
        <v>-0.16001382624738147</v>
      </c>
      <c r="AB155" s="38">
        <f t="shared" si="139"/>
        <v>-0.145951718088555</v>
      </c>
    </row>
    <row r="156" spans="1:28">
      <c r="A156" s="45" t="s">
        <v>258</v>
      </c>
      <c r="B156" s="45"/>
      <c r="C156" s="38" t="s">
        <v>146</v>
      </c>
      <c r="D156" s="38" t="s">
        <v>146</v>
      </c>
      <c r="E156" s="38" t="s">
        <v>146</v>
      </c>
      <c r="F156" s="38" t="s">
        <v>146</v>
      </c>
      <c r="G156" s="38" t="str">
        <f t="shared" ref="G156:R156" si="140">IF(AND(ISNUMBER(G155),ISNUMBER(C155)),G155+C155,"n/a")</f>
        <v>n/a</v>
      </c>
      <c r="H156" s="38" t="str">
        <f t="shared" si="140"/>
        <v>n/a</v>
      </c>
      <c r="I156" s="38">
        <f t="shared" si="140"/>
        <v>-0.39725471991914585</v>
      </c>
      <c r="J156" s="38">
        <f t="shared" si="140"/>
        <v>-0.38067515255795137</v>
      </c>
      <c r="K156" s="38">
        <f t="shared" si="140"/>
        <v>-0.42948559381053319</v>
      </c>
      <c r="L156" s="38">
        <f t="shared" si="140"/>
        <v>-0.42202472799487711</v>
      </c>
      <c r="M156" s="38">
        <f t="shared" si="140"/>
        <v>-0.41185399753274488</v>
      </c>
      <c r="N156" s="38">
        <f t="shared" si="140"/>
        <v>-0.33769258502934663</v>
      </c>
      <c r="O156" s="38">
        <f t="shared" si="140"/>
        <v>-0.35834593828324224</v>
      </c>
      <c r="P156" s="38">
        <f t="shared" si="140"/>
        <v>-0.36173160753805911</v>
      </c>
      <c r="Q156" s="38">
        <f t="shared" si="140"/>
        <v>-0.34926898778656545</v>
      </c>
      <c r="R156" s="38">
        <f t="shared" si="140"/>
        <v>-0.33141175309303839</v>
      </c>
      <c r="S156" s="45"/>
      <c r="T156" s="45"/>
      <c r="U156" s="38" t="s">
        <v>146</v>
      </c>
      <c r="V156" s="38" t="str">
        <f t="shared" ref="V156:AB156" si="141">IF(AND(ISNUMBER(V155),ISNUMBER(U155)),V155+U155,"n/a")</f>
        <v>n/a</v>
      </c>
      <c r="W156" s="38">
        <f t="shared" si="141"/>
        <v>-0.42098509860662803</v>
      </c>
      <c r="X156" s="38">
        <f t="shared" si="141"/>
        <v>-0.40030281825735536</v>
      </c>
      <c r="Y156" s="38">
        <f t="shared" si="141"/>
        <v>-0.35035425585553681</v>
      </c>
      <c r="Z156" s="38">
        <f t="shared" si="141"/>
        <v>-0.32173998178271368</v>
      </c>
      <c r="AA156" s="38">
        <f t="shared" si="141"/>
        <v>-0.31887828643791327</v>
      </c>
      <c r="AB156" s="38">
        <f t="shared" si="141"/>
        <v>-0.30596554433593648</v>
      </c>
    </row>
    <row r="158" spans="1:28">
      <c r="A158" s="45" t="s">
        <v>259</v>
      </c>
      <c r="B158" s="45"/>
      <c r="C158" s="45" t="s">
        <v>260</v>
      </c>
      <c r="D158" s="45" t="s">
        <v>261</v>
      </c>
      <c r="E158" s="45" t="s">
        <v>261</v>
      </c>
      <c r="F158" s="45" t="s">
        <v>262</v>
      </c>
      <c r="G158" s="45" t="s">
        <v>262</v>
      </c>
      <c r="H158" s="45" t="s">
        <v>262</v>
      </c>
      <c r="I158" s="45" t="s">
        <v>262</v>
      </c>
      <c r="J158" s="45" t="s">
        <v>262</v>
      </c>
      <c r="K158" s="45" t="s">
        <v>262</v>
      </c>
      <c r="L158" s="45" t="s">
        <v>262</v>
      </c>
      <c r="M158" s="45" t="s">
        <v>146</v>
      </c>
      <c r="N158" s="45" t="s">
        <v>146</v>
      </c>
      <c r="O158" s="45" t="s">
        <v>146</v>
      </c>
      <c r="P158" s="45" t="s">
        <v>146</v>
      </c>
      <c r="Q158" s="45" t="s">
        <v>146</v>
      </c>
      <c r="R158" s="45" t="s">
        <v>146</v>
      </c>
      <c r="S158" s="45"/>
      <c r="T158" s="45"/>
      <c r="U158" s="45" t="s">
        <v>146</v>
      </c>
      <c r="V158" s="45" t="s">
        <v>262</v>
      </c>
      <c r="W158" s="45" t="s">
        <v>262</v>
      </c>
      <c r="X158" s="45" t="s">
        <v>146</v>
      </c>
      <c r="Y158" s="45" t="s">
        <v>146</v>
      </c>
      <c r="Z158" s="45" t="s">
        <v>146</v>
      </c>
      <c r="AA158" s="45" t="s">
        <v>146</v>
      </c>
      <c r="AB158" s="45" t="s">
        <v>146</v>
      </c>
    </row>
    <row r="159" spans="1:28">
      <c r="A159" s="45" t="s">
        <v>263</v>
      </c>
      <c r="B159" s="45"/>
      <c r="C159" s="45" t="s">
        <v>146</v>
      </c>
      <c r="D159" s="45" t="s">
        <v>146</v>
      </c>
      <c r="E159" s="45" t="s">
        <v>146</v>
      </c>
      <c r="F159" s="45" t="s">
        <v>146</v>
      </c>
      <c r="G159" s="45" t="s">
        <v>146</v>
      </c>
      <c r="H159" s="45" t="s">
        <v>146</v>
      </c>
      <c r="I159" s="45" t="s">
        <v>264</v>
      </c>
      <c r="J159" s="45" t="s">
        <v>265</v>
      </c>
      <c r="K159" s="45" t="s">
        <v>265</v>
      </c>
      <c r="L159" s="45" t="s">
        <v>265</v>
      </c>
      <c r="M159" s="45" t="s">
        <v>146</v>
      </c>
      <c r="N159" s="45" t="s">
        <v>146</v>
      </c>
      <c r="O159" s="45" t="s">
        <v>146</v>
      </c>
      <c r="P159" s="45" t="s">
        <v>146</v>
      </c>
      <c r="Q159" s="45" t="s">
        <v>146</v>
      </c>
      <c r="R159" s="45" t="s">
        <v>146</v>
      </c>
      <c r="S159" s="45"/>
      <c r="T159" s="45"/>
      <c r="U159" s="45" t="s">
        <v>146</v>
      </c>
      <c r="V159" s="45" t="s">
        <v>146</v>
      </c>
      <c r="W159" s="45" t="s">
        <v>265</v>
      </c>
      <c r="X159" s="45" t="s">
        <v>146</v>
      </c>
      <c r="Y159" s="45" t="s">
        <v>146</v>
      </c>
      <c r="Z159" s="45" t="s">
        <v>146</v>
      </c>
      <c r="AA159" s="45" t="s">
        <v>146</v>
      </c>
      <c r="AB159" s="45" t="s">
        <v>146</v>
      </c>
    </row>
    <row r="160" spans="1:28">
      <c r="A160" s="45" t="s">
        <v>266</v>
      </c>
      <c r="B160" s="45"/>
      <c r="C160" s="45" t="s">
        <v>146</v>
      </c>
      <c r="D160" s="45" t="s">
        <v>146</v>
      </c>
      <c r="E160" s="45" t="s">
        <v>146</v>
      </c>
      <c r="F160" s="45" t="s">
        <v>146</v>
      </c>
      <c r="G160" s="45" t="s">
        <v>146</v>
      </c>
      <c r="H160" s="45" t="s">
        <v>146</v>
      </c>
      <c r="I160" s="45" t="s">
        <v>267</v>
      </c>
      <c r="J160" s="45" t="s">
        <v>265</v>
      </c>
      <c r="K160" s="45" t="s">
        <v>265</v>
      </c>
      <c r="L160" s="45" t="s">
        <v>268</v>
      </c>
      <c r="M160" s="45" t="s">
        <v>146</v>
      </c>
      <c r="N160" s="45" t="s">
        <v>146</v>
      </c>
      <c r="O160" s="45" t="s">
        <v>146</v>
      </c>
      <c r="P160" s="45" t="s">
        <v>146</v>
      </c>
      <c r="Q160" s="45" t="s">
        <v>146</v>
      </c>
      <c r="R160" s="45" t="s">
        <v>146</v>
      </c>
      <c r="S160" s="45"/>
      <c r="T160" s="45"/>
      <c r="U160" s="45" t="s">
        <v>146</v>
      </c>
      <c r="V160" s="45" t="s">
        <v>146</v>
      </c>
      <c r="W160" s="45" t="s">
        <v>146</v>
      </c>
      <c r="X160" s="45" t="s">
        <v>146</v>
      </c>
      <c r="Y160" s="45" t="s">
        <v>146</v>
      </c>
      <c r="Z160" s="45" t="s">
        <v>146</v>
      </c>
      <c r="AA160" s="45" t="s">
        <v>146</v>
      </c>
      <c r="AB160" s="45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2026-10-17T18:11:24Z</dcterms:created>
  <dcterms:modified xsi:type="dcterms:W3CDTF">2026-10-22T01:49:13Z</dcterms:modified>
  <cp:category/>
  <cp:contentStatus/>
</cp:coreProperties>
</file>