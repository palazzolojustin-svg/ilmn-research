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c57dbfba1bbe215/Documents/ILMN Claude Code Local Folder/Working Notes/Outputs/datasets/"/>
    </mc:Choice>
  </mc:AlternateContent>
  <xr:revisionPtr revIDLastSave="26" documentId="11_A1708443C213AEC536CA8716D59CA02AC94FBF84" xr6:coauthVersionLast="47" xr6:coauthVersionMax="47" xr10:uidLastSave="{AAC671BD-D7FC-4309-B170-03FB7A7D33DB}"/>
  <bookViews>
    <workbookView xWindow="-98" yWindow="-98" windowWidth="19396" windowHeight="11475" xr2:uid="{00000000-000D-0000-FFFF-FFFF00000000}"/>
  </bookViews>
  <sheets>
    <sheet name="2yr Stack Chart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H14" i="1" s="1"/>
  <c r="D13" i="1"/>
  <c r="G13" i="1" s="1"/>
  <c r="D12" i="1"/>
  <c r="F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User assumption for buyside FY27E clinical ex-China growth (25%).</t>
        </r>
      </text>
    </comment>
  </commentList>
</comments>
</file>

<file path=xl/sharedStrings.xml><?xml version="1.0" encoding="utf-8"?>
<sst xmlns="http://schemas.openxmlformats.org/spreadsheetml/2006/main" count="33" uniqueCount="29">
  <si>
    <t>ILMN clinical sequencing consumables, ex-China: two-year stack</t>
  </si>
  <si>
    <t>Blue = hardcoded input (Illumina decks / implied); black = formula. Growth stored as fractions.</t>
  </si>
  <si>
    <t>Period</t>
  </si>
  <si>
    <t>This year's y/y growth</t>
  </si>
  <si>
    <t>Prior year's y/y growth</t>
  </si>
  <si>
    <t>2-yr stack</t>
  </si>
  <si>
    <t>2-yr stack Clinical Consumables y/y growth ex-China</t>
  </si>
  <si>
    <t>Q4'26E (implied by guidance)</t>
  </si>
  <si>
    <t>FY27E required for 8.5% total growth</t>
  </si>
  <si>
    <t>Buyside expectations</t>
  </si>
  <si>
    <t>Source / basis</t>
  </si>
  <si>
    <t>Q1'25</t>
  </si>
  <si>
    <t>Illumina Q3'25-Q3'26 decks (reported growth, ex-China)</t>
  </si>
  <si>
    <t>Q2'25</t>
  </si>
  <si>
    <t>Illumina decks</t>
  </si>
  <si>
    <t>Q3'25</t>
  </si>
  <si>
    <t>Q4'25</t>
  </si>
  <si>
    <t>Q1'26</t>
  </si>
  <si>
    <t>Q2'26</t>
  </si>
  <si>
    <t>Q3'26</t>
  </si>
  <si>
    <t>Illumina Q3'26 deck and call</t>
  </si>
  <si>
    <t>Q4'26E</t>
  </si>
  <si>
    <t>Implied: CFO Q4 ex-China consumables +5-6% with R&amp;A -6%; FY 'mid-teens' clinical</t>
  </si>
  <si>
    <t>FY27E @ 8.5%</t>
  </si>
  <si>
    <t>Implied: clinical growth needed for +8.5% total revenue (HSD midpoint); FY26E ~15.3% (bridge note)</t>
  </si>
  <si>
    <t>FY27E buyside</t>
  </si>
  <si>
    <t>Assumption (user): buyside expects ~25% FY27 clinical growth on FY26E ~15.3%</t>
  </si>
  <si>
    <t>Note: quarterly bars are quarterly two-year stacks; the FY27E bars are full-year stacks. 2-yr stack = this year's y/y growth + prior year's y/y growth.</t>
  </si>
  <si>
    <t>To use in PowerPoint: click the chart, Ctrl+C, then in PowerPoint Paste (Keep Source Formatting &amp; Embed Workbook, or Use Destination Theme).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</si>
</sst>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64" fontId="5" fillId="0" borderId="0" xfId="0" applyNumberFormat="1" applyFont="1"/>
    <xf numFmtId="9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'2yr Stack Chart'!$E$4</c:f>
              <c:strCache>
                <c:ptCount val="1"/>
                <c:pt idx="0">
                  <c:v>2-yr stack Clinical Consumables y/y growth ex-China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'2yr Stack Chart'!$A$5:$A$14</c:f>
              <c:strCache>
                <c:ptCount val="10"/>
                <c:pt idx="0">
                  <c:v>Q1'25</c:v>
                </c:pt>
                <c:pt idx="1">
                  <c:v>Q2'25</c:v>
                </c:pt>
                <c:pt idx="2">
                  <c:v>Q3'25</c:v>
                </c:pt>
                <c:pt idx="3">
                  <c:v>Q4'25</c:v>
                </c:pt>
                <c:pt idx="4">
                  <c:v>Q1'26</c:v>
                </c:pt>
                <c:pt idx="5">
                  <c:v>Q2'26</c:v>
                </c:pt>
                <c:pt idx="6">
                  <c:v>Q3'26</c:v>
                </c:pt>
                <c:pt idx="7">
                  <c:v>Q4'26E</c:v>
                </c:pt>
                <c:pt idx="8">
                  <c:v>FY27E @ 8.5%</c:v>
                </c:pt>
                <c:pt idx="9">
                  <c:v>FY27E buyside</c:v>
                </c:pt>
              </c:strCache>
            </c:strRef>
          </c:cat>
          <c:val>
            <c:numRef>
              <c:f>'2yr Stack Chart'!$E$5:$E$14</c:f>
              <c:numCache>
                <c:formatCode>0%</c:formatCode>
                <c:ptCount val="10"/>
                <c:pt idx="0">
                  <c:v>0.15000000000000002</c:v>
                </c:pt>
                <c:pt idx="1">
                  <c:v>0.15000000000000002</c:v>
                </c:pt>
                <c:pt idx="2">
                  <c:v>0.22999999999999998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0.25</c:v>
                </c:pt>
                <c:pt idx="6">
                  <c:v>0.26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C6-44E9-836B-871A4464C03E}"/>
            </c:ext>
          </c:extLst>
        </c:ser>
        <c:ser>
          <c:idx val="1"/>
          <c:order val="1"/>
          <c:tx>
            <c:strRef>
              <c:f>'2yr Stack Chart'!$F$4</c:f>
              <c:strCache>
                <c:ptCount val="1"/>
                <c:pt idx="0">
                  <c:v>Q4'26E (implied by guidance)</c:v>
                </c:pt>
              </c:strCache>
            </c:strRef>
          </c:tx>
          <c:spPr>
            <a:solidFill>
              <a:srgbClr val="9CC2EE"/>
            </a:solidFill>
            <a:ln>
              <a:solidFill>
                <a:srgbClr val="9CC2EE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'2yr Stack Chart'!$A$5:$A$14</c:f>
              <c:strCache>
                <c:ptCount val="10"/>
                <c:pt idx="0">
                  <c:v>Q1'25</c:v>
                </c:pt>
                <c:pt idx="1">
                  <c:v>Q2'25</c:v>
                </c:pt>
                <c:pt idx="2">
                  <c:v>Q3'25</c:v>
                </c:pt>
                <c:pt idx="3">
                  <c:v>Q4'25</c:v>
                </c:pt>
                <c:pt idx="4">
                  <c:v>Q1'26</c:v>
                </c:pt>
                <c:pt idx="5">
                  <c:v>Q2'26</c:v>
                </c:pt>
                <c:pt idx="6">
                  <c:v>Q3'26</c:v>
                </c:pt>
                <c:pt idx="7">
                  <c:v>Q4'26E</c:v>
                </c:pt>
                <c:pt idx="8">
                  <c:v>FY27E @ 8.5%</c:v>
                </c:pt>
                <c:pt idx="9">
                  <c:v>FY27E buyside</c:v>
                </c:pt>
              </c:strCache>
            </c:strRef>
          </c:cat>
          <c:val>
            <c:numRef>
              <c:f>'2yr Stack Chart'!$F$5:$F$14</c:f>
              <c:numCache>
                <c:formatCode>0%</c:formatCode>
                <c:ptCount val="10"/>
                <c:pt idx="7">
                  <c:v>0.32700000000000001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CC2E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2C6-44E9-836B-871A4464C03E}"/>
            </c:ext>
          </c:extLst>
        </c:ser>
        <c:ser>
          <c:idx val="2"/>
          <c:order val="2"/>
          <c:tx>
            <c:strRef>
              <c:f>'2yr Stack Chart'!$G$4</c:f>
              <c:strCache>
                <c:ptCount val="1"/>
                <c:pt idx="0">
                  <c:v>FY27E required for 8.5% total growth</c:v>
                </c:pt>
              </c:strCache>
            </c:strRef>
          </c:tx>
          <c:spPr>
            <a:solidFill>
              <a:srgbClr val="8A8984"/>
            </a:solidFill>
            <a:ln>
              <a:solidFill>
                <a:srgbClr val="8A898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'2yr Stack Chart'!$A$5:$A$14</c:f>
              <c:strCache>
                <c:ptCount val="10"/>
                <c:pt idx="0">
                  <c:v>Q1'25</c:v>
                </c:pt>
                <c:pt idx="1">
                  <c:v>Q2'25</c:v>
                </c:pt>
                <c:pt idx="2">
                  <c:v>Q3'25</c:v>
                </c:pt>
                <c:pt idx="3">
                  <c:v>Q4'25</c:v>
                </c:pt>
                <c:pt idx="4">
                  <c:v>Q1'26</c:v>
                </c:pt>
                <c:pt idx="5">
                  <c:v>Q2'26</c:v>
                </c:pt>
                <c:pt idx="6">
                  <c:v>Q3'26</c:v>
                </c:pt>
                <c:pt idx="7">
                  <c:v>Q4'26E</c:v>
                </c:pt>
                <c:pt idx="8">
                  <c:v>FY27E @ 8.5%</c:v>
                </c:pt>
                <c:pt idx="9">
                  <c:v>FY27E buyside</c:v>
                </c:pt>
              </c:strCache>
            </c:strRef>
          </c:cat>
          <c:val>
            <c:numRef>
              <c:f>'2yr Stack Chart'!$G$5:$G$14</c:f>
              <c:numCache>
                <c:formatCode>0%</c:formatCode>
                <c:ptCount val="10"/>
                <c:pt idx="8">
                  <c:v>0.35699999999999998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A898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2C6-44E9-836B-871A4464C03E}"/>
            </c:ext>
          </c:extLst>
        </c:ser>
        <c:ser>
          <c:idx val="3"/>
          <c:order val="3"/>
          <c:tx>
            <c:strRef>
              <c:f>'2yr Stack Chart'!$H$4</c:f>
              <c:strCache>
                <c:ptCount val="1"/>
                <c:pt idx="0">
                  <c:v>Buyside expectations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'2yr Stack Chart'!$A$5:$A$14</c:f>
              <c:strCache>
                <c:ptCount val="10"/>
                <c:pt idx="0">
                  <c:v>Q1'25</c:v>
                </c:pt>
                <c:pt idx="1">
                  <c:v>Q2'25</c:v>
                </c:pt>
                <c:pt idx="2">
                  <c:v>Q3'25</c:v>
                </c:pt>
                <c:pt idx="3">
                  <c:v>Q4'25</c:v>
                </c:pt>
                <c:pt idx="4">
                  <c:v>Q1'26</c:v>
                </c:pt>
                <c:pt idx="5">
                  <c:v>Q2'26</c:v>
                </c:pt>
                <c:pt idx="6">
                  <c:v>Q3'26</c:v>
                </c:pt>
                <c:pt idx="7">
                  <c:v>Q4'26E</c:v>
                </c:pt>
                <c:pt idx="8">
                  <c:v>FY27E @ 8.5%</c:v>
                </c:pt>
                <c:pt idx="9">
                  <c:v>FY27E buyside</c:v>
                </c:pt>
              </c:strCache>
            </c:strRef>
          </c:cat>
          <c:val>
            <c:numRef>
              <c:f>'2yr Stack Chart'!$H$5:$H$14</c:f>
              <c:numCache>
                <c:formatCode>0%</c:formatCode>
                <c:ptCount val="10"/>
                <c:pt idx="9">
                  <c:v>0.40300000000000002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B683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2C6-44E9-836B-871A4464C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 b="0">
                <a:solidFill>
                  <a:srgbClr val="0B0B0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45"/>
          <c:min val="0"/>
        </c:scaling>
        <c:delete val="0"/>
        <c:axPos val="l"/>
        <c:majorGridlines>
          <c:spPr>
            <a:ln>
              <a:solidFill>
                <a:srgbClr val="E6E5E1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  <c:majorUnit val="0.1"/>
      </c:valAx>
    </c:plotArea>
    <c:legend>
      <c:legendPos val="t"/>
      <c:overlay val="1"/>
      <c:txPr>
        <a:bodyPr/>
        <a:lstStyle/>
        <a:p>
          <a:pPr>
            <a:defRPr sz="1200" b="0">
              <a:solidFill>
                <a:srgbClr val="0B0B0B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108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/>
  </sheetViews>
  <sheetFormatPr defaultRowHeight="14.25" x14ac:dyDescent="0.45"/>
  <cols>
    <col min="1" max="1" width="15" customWidth="1"/>
    <col min="2" max="3" width="13" customWidth="1"/>
    <col min="4" max="4" width="10" customWidth="1"/>
    <col min="5" max="5" width="22" customWidth="1"/>
    <col min="6" max="6" width="16" customWidth="1"/>
    <col min="7" max="7" width="18" customWidth="1"/>
    <col min="8" max="8" width="14" customWidth="1"/>
    <col min="9" max="9" width="70" customWidth="1"/>
  </cols>
  <sheetData>
    <row r="1" spans="1:9" ht="15.4" x14ac:dyDescent="0.45">
      <c r="A1" s="1" t="s">
        <v>0</v>
      </c>
    </row>
    <row r="2" spans="1:9" x14ac:dyDescent="0.45">
      <c r="A2" s="2" t="s">
        <v>1</v>
      </c>
    </row>
    <row r="4" spans="1:9" ht="58.05" customHeight="1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45">
      <c r="A5" s="4" t="s">
        <v>11</v>
      </c>
      <c r="B5" s="5">
        <v>0.08</v>
      </c>
      <c r="C5" s="5">
        <v>7.0000000000000007E-2</v>
      </c>
      <c r="D5" s="6">
        <f t="shared" ref="D5:D14" si="0">B5+C5</f>
        <v>0.15000000000000002</v>
      </c>
      <c r="E5" s="6">
        <f t="shared" ref="E5:E11" si="1">D5</f>
        <v>0.15000000000000002</v>
      </c>
      <c r="F5" s="6"/>
      <c r="G5" s="6"/>
      <c r="H5" s="6"/>
      <c r="I5" s="7" t="s">
        <v>12</v>
      </c>
    </row>
    <row r="6" spans="1:9" x14ac:dyDescent="0.45">
      <c r="A6" s="4" t="s">
        <v>13</v>
      </c>
      <c r="B6" s="5">
        <v>0.1</v>
      </c>
      <c r="C6" s="5">
        <v>0.05</v>
      </c>
      <c r="D6" s="6">
        <f t="shared" si="0"/>
        <v>0.15000000000000002</v>
      </c>
      <c r="E6" s="6">
        <f t="shared" si="1"/>
        <v>0.15000000000000002</v>
      </c>
      <c r="F6" s="6"/>
      <c r="G6" s="6"/>
      <c r="H6" s="6"/>
      <c r="I6" s="7" t="s">
        <v>14</v>
      </c>
    </row>
    <row r="7" spans="1:9" x14ac:dyDescent="0.45">
      <c r="A7" s="4" t="s">
        <v>15</v>
      </c>
      <c r="B7" s="5">
        <v>0.12</v>
      </c>
      <c r="C7" s="5">
        <v>0.11</v>
      </c>
      <c r="D7" s="6">
        <f t="shared" si="0"/>
        <v>0.22999999999999998</v>
      </c>
      <c r="E7" s="6">
        <f t="shared" si="1"/>
        <v>0.22999999999999998</v>
      </c>
      <c r="F7" s="6"/>
      <c r="G7" s="6"/>
      <c r="H7" s="6"/>
      <c r="I7" s="7" t="s">
        <v>14</v>
      </c>
    </row>
    <row r="8" spans="1:9" x14ac:dyDescent="0.45">
      <c r="A8" s="4" t="s">
        <v>16</v>
      </c>
      <c r="B8" s="5">
        <v>0.2</v>
      </c>
      <c r="C8" s="5">
        <v>0.08</v>
      </c>
      <c r="D8" s="6">
        <f t="shared" si="0"/>
        <v>0.28000000000000003</v>
      </c>
      <c r="E8" s="6">
        <f t="shared" si="1"/>
        <v>0.28000000000000003</v>
      </c>
      <c r="F8" s="6"/>
      <c r="G8" s="6"/>
      <c r="H8" s="6"/>
      <c r="I8" s="7" t="s">
        <v>14</v>
      </c>
    </row>
    <row r="9" spans="1:9" x14ac:dyDescent="0.45">
      <c r="A9" s="4" t="s">
        <v>17</v>
      </c>
      <c r="B9" s="5">
        <v>0.2</v>
      </c>
      <c r="C9" s="5">
        <v>0.08</v>
      </c>
      <c r="D9" s="6">
        <f t="shared" si="0"/>
        <v>0.28000000000000003</v>
      </c>
      <c r="E9" s="6">
        <f t="shared" si="1"/>
        <v>0.28000000000000003</v>
      </c>
      <c r="F9" s="6"/>
      <c r="G9" s="6"/>
      <c r="H9" s="6"/>
      <c r="I9" s="7" t="s">
        <v>14</v>
      </c>
    </row>
    <row r="10" spans="1:9" x14ac:dyDescent="0.45">
      <c r="A10" s="4" t="s">
        <v>18</v>
      </c>
      <c r="B10" s="5">
        <v>0.15</v>
      </c>
      <c r="C10" s="5">
        <v>0.1</v>
      </c>
      <c r="D10" s="6">
        <f t="shared" si="0"/>
        <v>0.25</v>
      </c>
      <c r="E10" s="6">
        <f t="shared" si="1"/>
        <v>0.25</v>
      </c>
      <c r="F10" s="6"/>
      <c r="G10" s="6"/>
      <c r="H10" s="6"/>
      <c r="I10" s="7" t="s">
        <v>14</v>
      </c>
    </row>
    <row r="11" spans="1:9" x14ac:dyDescent="0.45">
      <c r="A11" s="4" t="s">
        <v>19</v>
      </c>
      <c r="B11" s="5">
        <v>0.14000000000000001</v>
      </c>
      <c r="C11" s="5">
        <v>0.12</v>
      </c>
      <c r="D11" s="6">
        <f t="shared" si="0"/>
        <v>0.26</v>
      </c>
      <c r="E11" s="6">
        <f t="shared" si="1"/>
        <v>0.26</v>
      </c>
      <c r="F11" s="6"/>
      <c r="G11" s="6"/>
      <c r="H11" s="6"/>
      <c r="I11" s="7" t="s">
        <v>20</v>
      </c>
    </row>
    <row r="12" spans="1:9" x14ac:dyDescent="0.45">
      <c r="A12" s="4" t="s">
        <v>21</v>
      </c>
      <c r="B12" s="5">
        <v>0.127</v>
      </c>
      <c r="C12" s="5">
        <v>0.2</v>
      </c>
      <c r="D12" s="6">
        <f t="shared" si="0"/>
        <v>0.32700000000000001</v>
      </c>
      <c r="E12" s="6"/>
      <c r="F12" s="6">
        <f>D12</f>
        <v>0.32700000000000001</v>
      </c>
      <c r="G12" s="6"/>
      <c r="H12" s="6"/>
      <c r="I12" s="7" t="s">
        <v>22</v>
      </c>
    </row>
    <row r="13" spans="1:9" x14ac:dyDescent="0.45">
      <c r="A13" s="4" t="s">
        <v>23</v>
      </c>
      <c r="B13" s="5">
        <v>0.20399999999999999</v>
      </c>
      <c r="C13" s="5">
        <v>0.153</v>
      </c>
      <c r="D13" s="6">
        <f t="shared" si="0"/>
        <v>0.35699999999999998</v>
      </c>
      <c r="E13" s="6"/>
      <c r="F13" s="6"/>
      <c r="G13" s="6">
        <f>D13</f>
        <v>0.35699999999999998</v>
      </c>
      <c r="H13" s="6"/>
      <c r="I13" s="7" t="s">
        <v>24</v>
      </c>
    </row>
    <row r="14" spans="1:9" x14ac:dyDescent="0.45">
      <c r="A14" s="4" t="s">
        <v>25</v>
      </c>
      <c r="B14" s="5">
        <v>0.25</v>
      </c>
      <c r="C14" s="5">
        <v>0.153</v>
      </c>
      <c r="D14" s="6">
        <f t="shared" si="0"/>
        <v>0.40300000000000002</v>
      </c>
      <c r="E14" s="6"/>
      <c r="F14" s="6"/>
      <c r="G14" s="6"/>
      <c r="H14" s="6">
        <f>D14</f>
        <v>0.40300000000000002</v>
      </c>
      <c r="I14" s="7" t="s">
        <v>26</v>
      </c>
    </row>
    <row r="16" spans="1:9" x14ac:dyDescent="0.45">
      <c r="A16" s="2" t="s">
        <v>27</v>
      </c>
    </row>
    <row r="17" spans="1:1" x14ac:dyDescent="0.45">
      <c r="A17" s="2" t="s">
        <v>28</v>
      </c>
    </row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2yr Stack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Palazzolo</cp:lastModifiedBy>
  <dcterms:created xsi:type="dcterms:W3CDTF">2026-10-31T00:52:10Z</dcterms:created>
  <dcterms:modified xsi:type="dcterms:W3CDTF">2026-10-31T00:52:40Z</dcterms:modified>
</cp:coreProperties>
</file>