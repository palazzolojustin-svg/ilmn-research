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c57dbfba1bbe215/Documents/ILMN Claude Code Local Folder/Working Notes/Outputs/datasets/"/>
    </mc:Choice>
  </mc:AlternateContent>
  <xr:revisionPtr revIDLastSave="265" documentId="11_EBC793924E84E83F2F9EA82992EA9A596B41CE07" xr6:coauthVersionLast="47" xr6:coauthVersionMax="47" xr10:uidLastSave="{0EDE062E-31B0-42BF-B1B2-BBE119AA72A1}"/>
  <bookViews>
    <workbookView xWindow="-98" yWindow="-98" windowWidth="19396" windowHeight="11475" xr2:uid="{00000000-000D-0000-FFFF-FFFF00000000}"/>
  </bookViews>
  <sheets>
    <sheet name="Reverse DCF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H15" i="1"/>
  <c r="G15" i="1"/>
  <c r="F15" i="1"/>
  <c r="E15" i="1"/>
  <c r="D15" i="1"/>
  <c r="I11" i="1"/>
  <c r="H11" i="1"/>
  <c r="G11" i="1"/>
  <c r="F11" i="1"/>
  <c r="E11" i="1"/>
  <c r="D11" i="1"/>
  <c r="I7" i="1"/>
  <c r="H7" i="1"/>
  <c r="G7" i="1"/>
  <c r="F7" i="1"/>
  <c r="E7" i="1"/>
  <c r="D7" i="1"/>
  <c r="I39" i="1"/>
  <c r="H39" i="1"/>
  <c r="G40" i="1"/>
  <c r="G39" i="1"/>
  <c r="F40" i="1"/>
  <c r="F39" i="1"/>
  <c r="E39" i="1"/>
  <c r="D40" i="1"/>
  <c r="D39" i="1"/>
  <c r="C83" i="1"/>
  <c r="D84" i="1" s="1"/>
  <c r="I87" i="1"/>
  <c r="I40" i="1" s="1"/>
  <c r="H87" i="1"/>
  <c r="H40" i="1" s="1"/>
  <c r="G87" i="1"/>
  <c r="F87" i="1"/>
  <c r="E87" i="1"/>
  <c r="E40" i="1" s="1"/>
  <c r="D87" i="1"/>
  <c r="I84" i="1"/>
  <c r="H84" i="1"/>
  <c r="G84" i="1"/>
  <c r="F84" i="1"/>
  <c r="E84" i="1"/>
  <c r="I60" i="1"/>
  <c r="H60" i="1"/>
  <c r="G60" i="1"/>
  <c r="F60" i="1"/>
  <c r="E60" i="1"/>
  <c r="D60" i="1"/>
  <c r="I57" i="1"/>
  <c r="I58" i="1" s="1"/>
  <c r="H57" i="1"/>
  <c r="H58" i="1" s="1"/>
  <c r="G57" i="1"/>
  <c r="G58" i="1" s="1"/>
  <c r="F57" i="1"/>
  <c r="F58" i="1" s="1"/>
  <c r="E57" i="1"/>
  <c r="E58" i="1" s="1"/>
  <c r="D57" i="1"/>
  <c r="D58" i="1" s="1"/>
  <c r="C43" i="1"/>
  <c r="B43" i="1"/>
  <c r="C41" i="1"/>
  <c r="B41" i="1"/>
  <c r="C40" i="1"/>
  <c r="C39" i="1"/>
  <c r="B39" i="1"/>
  <c r="L12" i="1"/>
  <c r="C14" i="1"/>
  <c r="B14" i="1"/>
  <c r="L10" i="1"/>
  <c r="C12" i="1"/>
  <c r="B12" i="1"/>
  <c r="C10" i="1"/>
  <c r="B10" i="1"/>
  <c r="C8" i="1"/>
  <c r="B8" i="1"/>
  <c r="C6" i="1"/>
  <c r="D5" i="1"/>
  <c r="D54" i="1" s="1"/>
  <c r="C17" i="1" l="1"/>
  <c r="C16" i="1"/>
  <c r="B17" i="1"/>
  <c r="B16" i="1"/>
  <c r="D53" i="1"/>
  <c r="D52" i="1"/>
  <c r="D48" i="1"/>
  <c r="D51" i="1" s="1"/>
  <c r="D42" i="1"/>
  <c r="D43" i="1" s="1"/>
  <c r="D13" i="1"/>
  <c r="D9" i="1"/>
  <c r="D8" i="1" s="1"/>
  <c r="D6" i="1"/>
  <c r="E5" i="1"/>
  <c r="D16" i="1" l="1"/>
  <c r="D17" i="1"/>
  <c r="D47" i="1"/>
  <c r="D49" i="1" s="1"/>
  <c r="D14" i="1"/>
  <c r="D10" i="1"/>
  <c r="D12" i="1"/>
  <c r="F5" i="1"/>
  <c r="E6" i="1"/>
  <c r="E9" i="1"/>
  <c r="E8" i="1" s="1"/>
  <c r="E42" i="1"/>
  <c r="E43" i="1" s="1"/>
  <c r="E48" i="1"/>
  <c r="E51" i="1" s="1"/>
  <c r="E52" i="1"/>
  <c r="E53" i="1"/>
  <c r="E13" i="1"/>
  <c r="E54" i="1"/>
  <c r="D50" i="1" l="1"/>
  <c r="D55" i="1" s="1"/>
  <c r="D59" i="1" s="1"/>
  <c r="D61" i="1"/>
  <c r="D62" i="1" s="1"/>
  <c r="G5" i="1"/>
  <c r="F6" i="1"/>
  <c r="F9" i="1"/>
  <c r="F8" i="1" s="1"/>
  <c r="F42" i="1"/>
  <c r="F43" i="1" s="1"/>
  <c r="F48" i="1"/>
  <c r="F51" i="1" s="1"/>
  <c r="F52" i="1"/>
  <c r="F53" i="1"/>
  <c r="F13" i="1"/>
  <c r="F54" i="1"/>
  <c r="E12" i="1"/>
  <c r="E10" i="1"/>
  <c r="E16" i="1"/>
  <c r="E17" i="1"/>
  <c r="E14" i="1"/>
  <c r="E47" i="1"/>
  <c r="E49" i="1" s="1"/>
  <c r="H5" i="1" l="1"/>
  <c r="G6" i="1"/>
  <c r="G9" i="1"/>
  <c r="G8" i="1" s="1"/>
  <c r="G13" i="1"/>
  <c r="G42" i="1"/>
  <c r="G43" i="1" s="1"/>
  <c r="G48" i="1"/>
  <c r="G51" i="1" s="1"/>
  <c r="G52" i="1"/>
  <c r="G53" i="1"/>
  <c r="G54" i="1"/>
  <c r="F10" i="1"/>
  <c r="F12" i="1"/>
  <c r="F16" i="1"/>
  <c r="F17" i="1"/>
  <c r="F14" i="1"/>
  <c r="F47" i="1"/>
  <c r="F49" i="1" s="1"/>
  <c r="E50" i="1"/>
  <c r="E61" i="1"/>
  <c r="E62" i="1" s="1"/>
  <c r="E55" i="1"/>
  <c r="E59" i="1" s="1"/>
  <c r="I5" i="1" l="1"/>
  <c r="H6" i="1"/>
  <c r="H9" i="1"/>
  <c r="H8" i="1" s="1"/>
  <c r="H42" i="1"/>
  <c r="H43" i="1" s="1"/>
  <c r="H48" i="1"/>
  <c r="H51" i="1" s="1"/>
  <c r="H52" i="1"/>
  <c r="H53" i="1"/>
  <c r="H13" i="1"/>
  <c r="H54" i="1"/>
  <c r="G12" i="1"/>
  <c r="G10" i="1"/>
  <c r="G47" i="1"/>
  <c r="G49" i="1" s="1"/>
  <c r="G14" i="1"/>
  <c r="G16" i="1"/>
  <c r="G17" i="1"/>
  <c r="F50" i="1"/>
  <c r="F55" i="1" s="1"/>
  <c r="F59" i="1" s="1"/>
  <c r="F61" i="1"/>
  <c r="F62" i="1" s="1"/>
  <c r="I6" i="1" l="1"/>
  <c r="I9" i="1"/>
  <c r="I8" i="1" s="1"/>
  <c r="I13" i="1"/>
  <c r="I42" i="1"/>
  <c r="I43" i="1" s="1"/>
  <c r="I48" i="1"/>
  <c r="I51" i="1" s="1"/>
  <c r="I52" i="1"/>
  <c r="I53" i="1"/>
  <c r="I54" i="1"/>
  <c r="H12" i="1"/>
  <c r="H10" i="1"/>
  <c r="H16" i="1"/>
  <c r="H17" i="1"/>
  <c r="H14" i="1"/>
  <c r="H47" i="1"/>
  <c r="H49" i="1" s="1"/>
  <c r="G50" i="1"/>
  <c r="G55" i="1" s="1"/>
  <c r="G59" i="1" s="1"/>
  <c r="G61" i="1"/>
  <c r="G62" i="1" s="1"/>
  <c r="I12" i="1" l="1"/>
  <c r="I10" i="1"/>
  <c r="I47" i="1"/>
  <c r="I49" i="1" s="1"/>
  <c r="I14" i="1"/>
  <c r="L6" i="1"/>
  <c r="I16" i="1"/>
  <c r="I17" i="1"/>
  <c r="H50" i="1"/>
  <c r="H55" i="1" s="1"/>
  <c r="H59" i="1" s="1"/>
  <c r="H61" i="1"/>
  <c r="H62" i="1" s="1"/>
  <c r="I50" i="1" l="1"/>
  <c r="I55" i="1" s="1"/>
  <c r="I59" i="1" s="1"/>
  <c r="L8" i="1" s="1"/>
  <c r="I61" i="1"/>
  <c r="I62" i="1" l="1"/>
  <c r="L5" i="1"/>
  <c r="L7" i="1" s="1"/>
  <c r="L9" i="1" s="1"/>
  <c r="L11" i="1" s="1"/>
  <c r="L13" i="1" s="1"/>
  <c r="L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4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FY2024 Core Illumina non-GAAP operating margin 21.3%.</t>
        </r>
      </text>
    </comment>
    <comment ref="C4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FY2025 adj. operating income $1,004M / revenue.</t>
        </r>
      </text>
    </comment>
    <comment ref="B4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FY2024 depreciation $224M (excl. intangible amortization).</t>
        </r>
      </text>
    </comment>
    <comment ref="C4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FY2025 depreciation $204M (excl. intangible amortization).</t>
        </r>
      </text>
    </comment>
    <comment ref="B4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Sequencing consumables FY24 $2,872M (Q4'25 deck; Bloomberg shows $2,858M).</t>
        </r>
      </text>
    </comment>
    <comment ref="C4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Sequencing consumables FY25 $2,939M (Q4'25 deck / 10-K).</t>
        </r>
      </text>
    </comment>
  </commentList>
</comments>
</file>

<file path=xl/sharedStrings.xml><?xml version="1.0" encoding="utf-8"?>
<sst xmlns="http://schemas.openxmlformats.org/spreadsheetml/2006/main" count="138" uniqueCount="113">
  <si>
    <t>Illumina (ILMN): Reverse DCF - revenue growth implied by the share price</t>
  </si>
  <si>
    <t>2024A</t>
  </si>
  <si>
    <t>2025A</t>
  </si>
  <si>
    <t>2026E</t>
  </si>
  <si>
    <t>2027E</t>
  </si>
  <si>
    <t>2028E</t>
  </si>
  <si>
    <t>2029E</t>
  </si>
  <si>
    <t>2030E</t>
  </si>
  <si>
    <t>2031E</t>
  </si>
  <si>
    <t>Revenue</t>
  </si>
  <si>
    <t>2031 EV/EBITDA</t>
  </si>
  <si>
    <t>YoY Growth (%)</t>
  </si>
  <si>
    <t>2031 Adj. EBITDA</t>
  </si>
  <si>
    <t>(-) Cost of Goods Sold</t>
  </si>
  <si>
    <t>PV of Terminal Value</t>
  </si>
  <si>
    <t>Gross Profit</t>
  </si>
  <si>
    <t>Sum of PV of UFCF</t>
  </si>
  <si>
    <t>Gross Margin (%)</t>
  </si>
  <si>
    <t>Enterprise Value</t>
  </si>
  <si>
    <t>(-) Operating Expenses (D&amp;A, SBC)</t>
  </si>
  <si>
    <t>(-) Net Debt</t>
  </si>
  <si>
    <t>Adj. EBITDA</t>
  </si>
  <si>
    <t>Equity Value</t>
  </si>
  <si>
    <t>EBITDA Margin (%)</t>
  </si>
  <si>
    <t>(/) FDSO</t>
  </si>
  <si>
    <t>Implied Price/Gb Change (@ 25% Gb Growth)</t>
  </si>
  <si>
    <t>Implied Share Price</t>
  </si>
  <si>
    <t>Implied Price/Gb Change (@ 30% Gb Growth)</t>
  </si>
  <si>
    <t>Implied Upside</t>
  </si>
  <si>
    <t>Key Assumptions</t>
  </si>
  <si>
    <t>Source / note</t>
  </si>
  <si>
    <t>Current share price ($)</t>
  </si>
  <si>
    <t>ILMN close, 14 Oct 2026 (stockanalysis.com). Update before use.</t>
  </si>
  <si>
    <t>Valuation date</t>
  </si>
  <si>
    <t>Today. Cash flows are discounted from this date.</t>
  </si>
  <si>
    <t>WACC</t>
  </si>
  <si>
    <t>Assumption. Sell-side range 8.9-10.2% (JPM DCFs Feb-Jul 2026; Seeking Alpha 9.74%).</t>
  </si>
  <si>
    <t>2031E P/E anchor (on adj. EPS)</t>
  </si>
  <si>
    <t>Per user: 30x 2031E P/E. L5 converts it to the equivalent 2031E EV/EBITDA = (P/E x 2031 adj. net income + net debt) / 2031 adj. EBITDA, so the terminal value is identical.</t>
  </si>
  <si>
    <t>Implied 2027E-2031E revenue CAGR (SOLVED)</t>
  </si>
  <si>
    <t>2026E revenue ($M)</t>
  </si>
  <si>
    <t>FY26 guidance midpoint ($4.60-4.64B, 30 Jul 2026). Consensus $4,625M.</t>
  </si>
  <si>
    <t>Tax rate on EBIT</t>
  </si>
  <si>
    <t>Non-GAAP tax rate 20.5% (FY26 guide; Q1/Q2 actuals).</t>
  </si>
  <si>
    <t>Capex (% of revenue)</t>
  </si>
  <si>
    <t>FY26 capex guide ~$225M / $4.62B. Consensus 3.8-4.3%.</t>
  </si>
  <si>
    <t>Increase in NWC (% of revenue change)</t>
  </si>
  <si>
    <t>Assumption. FY25 NWC build ~$123M; consensus 2026E ~$58M.</t>
  </si>
  <si>
    <t>SBC (% of revenue)</t>
  </si>
  <si>
    <t>Consensus 2026E SBC $282M / $4,625M.</t>
  </si>
  <si>
    <t>Deduct SBC from UFCF? (1 = yes, 0 = no)</t>
  </si>
  <si>
    <t>0 = SBC treated as non-cash (matches adj. EBITDA and consensus FCF). Set 1 to treat it as a cash cost.</t>
  </si>
  <si>
    <t>Net debt, 28 Jun 2026 ($M)</t>
  </si>
  <si>
    <t>Debt $1,991M (carrying) less cash + ST investments $1,168M (Q2'26 10-Q). Sep-26 refinancing roughly neutral.</t>
  </si>
  <si>
    <t>FDSO (M)</t>
  </si>
  <si>
    <t>151.0M basic (24 Jul 2026) + ~2M dilution; Q2'26 diluted ~153M.</t>
  </si>
  <si>
    <t>Gb growth, scenario A</t>
  </si>
  <si>
    <t>Thesis case: Gb growth slows to ~25%.</t>
  </si>
  <si>
    <t>Gb growth, scenario B</t>
  </si>
  <si>
    <t>Management's '&gt;30%' Gb growth floor.</t>
  </si>
  <si>
    <t>FY2023 sequencing consumables ($M)</t>
  </si>
  <si>
    <t>FY23 $2,790M (Bloomberg); used for the 2024A implied price/Gb change.</t>
  </si>
  <si>
    <t>Net interest &amp; other expense ($M per year)</t>
  </si>
  <si>
    <t>FY26 guide 'other expense' ~ -$65M; held flat (net debt assumed constant, all FCF distributed).</t>
  </si>
  <si>
    <t>Margin &amp; Revenue Drivers</t>
  </si>
  <si>
    <t>Adj. gross margin (%)</t>
  </si>
  <si>
    <t>Adj. operating margin (%)</t>
  </si>
  <si>
    <t>Depreciation (% of revenue)</t>
  </si>
  <si>
    <t>Consensus depreciation 4.6% of revenue (2026E) trending to ~3.7% (2031E).</t>
  </si>
  <si>
    <t>Sequencing consumables ($M)</t>
  </si>
  <si>
    <t>Projected at FY25 share of revenue (67.7%). Consensus has the share rising to ~75% by 2031E.</t>
  </si>
  <si>
    <t>Sequencing consumables growth (%)</t>
  </si>
  <si>
    <t>Fiscal year (helper)</t>
  </si>
  <si>
    <t>Unlevered Free Cash Flow</t>
  </si>
  <si>
    <t>(-) Depreciation</t>
  </si>
  <si>
    <t>EBIT</t>
  </si>
  <si>
    <t>(-) Taxes on EBIT</t>
  </si>
  <si>
    <t>(+) Depreciation</t>
  </si>
  <si>
    <t>(-) Capex</t>
  </si>
  <si>
    <t>(-) Increase in NWC</t>
  </si>
  <si>
    <t>(-) SBC (if deducted)</t>
  </si>
  <si>
    <t>Unlevered FCF</t>
  </si>
  <si>
    <t>Share of year included</t>
  </si>
  <si>
    <t>2026E: only H2 cash flow counted, since net debt is as of 28 Jun 2026.</t>
  </si>
  <si>
    <t>Discount period (yrs, mid-period)</t>
  </si>
  <si>
    <t>Mid-period convention; terminal value discounted from 31 Dec 2031.</t>
  </si>
  <si>
    <t>Discount factor</t>
  </si>
  <si>
    <t>PV of UFCF</t>
  </si>
  <si>
    <t>Net interest &amp; other expense</t>
  </si>
  <si>
    <t>Adj. net income</t>
  </si>
  <si>
    <t>EBIT less net interest, taxed at the adj. rate; excludes SBC and amortization, like consensus adj. EPS.</t>
  </si>
  <si>
    <t>Adj. EPS ($)</t>
  </si>
  <si>
    <t>Constant share count (FDSO). Consensus adj. EPS: $5.36 (2026E), $11.01 (2031E).</t>
  </si>
  <si>
    <t>WACC  vs  2031E exit P/E</t>
  </si>
  <si>
    <t>Equivalent 2031E EV/EBITDA (at 9.5% WACC)</t>
  </si>
  <si>
    <t>2028E-2031E adj. operating margin  vs  2031E exit P/E (WACC 9.5%)</t>
  </si>
  <si>
    <t>Legend: blue = hardcoded input; black = formula; yellow = key assumption or solved cell; pink with red dashed border = solved projections.</t>
  </si>
  <si>
    <t>Implied Price/Gb rows = (1 + sequencing consumables growth) / (1 + Gb growth) - 1. History uses actual consumables growth; projections assume consumables grow with revenue.</t>
  </si>
  <si>
    <t>Sources: Bloomberg consensus (10 Oct 2026); ILMN Q2'26 10-Q and call (30 Jul 2026); Aug 2024 strategy-update targets (reaffirmed through Q2'26). See Core Notes 02, 03, 05, 06.</t>
  </si>
  <si>
    <t>Δ vs. Consensus (bps)</t>
  </si>
  <si>
    <t>Bloomberg Consensus (10 Oct 2026), used for the Δ rows</t>
  </si>
  <si>
    <t>Consensus revenue growth (%)</t>
  </si>
  <si>
    <t>Consensus adj. gross margin (%)</t>
  </si>
  <si>
    <t>Consensus adj. EBITDA margin (%)</t>
  </si>
  <si>
    <t>Source: Bloomberg annual consensus (BBG Annuals, 10 Oct 2026; Core Notes 03). Gross margin is Bloomberg's consensus margin line; EBITDA margin = consensus adj. EBITDA / consensus revenue. 2025A revenue base = actual.</t>
  </si>
  <si>
    <t>Consensus revenue ($M)</t>
  </si>
  <si>
    <t>Consensus adj. EBITDA ($M)</t>
  </si>
  <si>
    <t>Goal Seek: set L14 (Implied Upside) to 0 by changing B25. Pre-solved value shown.</t>
  </si>
  <si>
    <t>To re-solve after changing any input: Data &gt; What-If Analysis &gt; Goal Seek. Set cell L14 to 0 by changing cell B25.</t>
  </si>
  <si>
    <t>Linked to Bloomberg consensus adj. gross margin (row 85).</t>
  </si>
  <si>
    <t>Backed out = consensus adj. EBITDA margin (row 87) less depreciation %, so the EBITDA margin equals consensus.</t>
  </si>
  <si>
    <t>$ in millions except per share. Adjusted (non-GAAP) basis. Bloomberg consensus margins; exit at the 2031E EV/EBITDA equivalent to 30.0x 2031E P/E; growth solved so the implied price equals the current price.</t>
  </si>
  <si>
    <t>Sensitivity: implied 2027E-2031E revenue CAGR at consensus margins (static solver output; re-run Goal Seek per case to reproduce)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</si>
</sst>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&quot;-&quot;_)"/>
    <numFmt numFmtId="165" formatCode="0.0%_);\(0.0%\);&quot;-&quot;_)"/>
    <numFmt numFmtId="166" formatCode="0.0&quot;x&quot;"/>
    <numFmt numFmtId="167" formatCode="&quot;$&quot;#,##0.00"/>
    <numFmt numFmtId="168" formatCode="d\ mmm\ yyyy"/>
    <numFmt numFmtId="169" formatCode="0.000"/>
    <numFmt numFmtId="170" formatCode="\+#,##0&quot; bps&quot;;\(#,##0&quot; bps&quot;\);&quot;0 bps&quot;"/>
  </numFmts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sz val="10"/>
      <color rgb="FF808080"/>
      <name val="Arial"/>
      <family val="2"/>
    </font>
    <font>
      <sz val="11"/>
      <color theme="1"/>
      <name val="Garamond"/>
      <family val="1"/>
    </font>
    <font>
      <b/>
      <sz val="10"/>
      <name val="Garamond"/>
      <family val="1"/>
    </font>
    <font>
      <b/>
      <sz val="10"/>
      <color rgb="FF0000FF"/>
      <name val="Garamond"/>
      <family val="1"/>
    </font>
    <font>
      <sz val="10"/>
      <name val="Garamond"/>
      <family val="1"/>
    </font>
    <font>
      <i/>
      <sz val="10"/>
      <name val="Garamond"/>
      <family val="1"/>
    </font>
    <font>
      <sz val="10"/>
      <color rgb="FF0000FF"/>
      <name val="Garamond"/>
      <family val="1"/>
    </font>
    <font>
      <b/>
      <i/>
      <sz val="10"/>
      <color rgb="FFC00000"/>
      <name val="Garamond"/>
      <family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11"/>
      <color theme="1"/>
      <name val="Arial"/>
      <family val="2"/>
    </font>
    <font>
      <i/>
      <sz val="10"/>
      <color rgb="FF000000"/>
      <name val="Garamond"/>
      <family val="1"/>
    </font>
    <font>
      <b/>
      <i/>
      <sz val="10"/>
      <name val="Garamond"/>
      <family val="1"/>
    </font>
    <font>
      <b/>
      <i/>
      <sz val="10"/>
      <color rgb="FF00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ashed">
        <color rgb="FFC00000"/>
      </left>
      <right/>
      <top style="dashed">
        <color rgb="FFC00000"/>
      </top>
      <bottom style="dashed">
        <color rgb="FFC00000"/>
      </bottom>
      <diagonal/>
    </border>
    <border>
      <left/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 style="dashed">
        <color rgb="FFC00000"/>
      </left>
      <right/>
      <top style="dashed">
        <color rgb="FFC00000"/>
      </top>
      <bottom/>
      <diagonal/>
    </border>
    <border>
      <left/>
      <right style="dashed">
        <color rgb="FFC00000"/>
      </right>
      <top style="dashed">
        <color rgb="FFC00000"/>
      </top>
      <bottom/>
      <diagonal/>
    </border>
    <border>
      <left style="dashed">
        <color rgb="FFC00000"/>
      </left>
      <right/>
      <top/>
      <bottom style="dashed">
        <color rgb="FFC00000"/>
      </bottom>
      <diagonal/>
    </border>
    <border>
      <left/>
      <right style="dashed">
        <color rgb="FFC00000"/>
      </right>
      <top/>
      <bottom style="dashed">
        <color rgb="FFC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6" fillId="0" borderId="0" xfId="0" applyNumberFormat="1" applyFont="1"/>
    <xf numFmtId="165" fontId="3" fillId="0" borderId="0" xfId="0" applyNumberFormat="1" applyFont="1"/>
    <xf numFmtId="0" fontId="3" fillId="0" borderId="1" xfId="0" applyFont="1" applyBorder="1"/>
    <xf numFmtId="167" fontId="6" fillId="0" borderId="0" xfId="0" applyNumberFormat="1" applyFont="1"/>
    <xf numFmtId="0" fontId="7" fillId="0" borderId="0" xfId="0" applyFont="1"/>
    <xf numFmtId="168" fontId="6" fillId="0" borderId="0" xfId="0" applyNumberFormat="1" applyFont="1"/>
    <xf numFmtId="165" fontId="6" fillId="0" borderId="0" xfId="0" applyNumberFormat="1" applyFont="1"/>
    <xf numFmtId="166" fontId="6" fillId="4" borderId="0" xfId="0" applyNumberFormat="1" applyFont="1" applyFill="1"/>
    <xf numFmtId="165" fontId="5" fillId="4" borderId="0" xfId="0" applyNumberFormat="1" applyFont="1" applyFill="1"/>
    <xf numFmtId="1" fontId="6" fillId="0" borderId="0" xfId="0" applyNumberFormat="1" applyFont="1"/>
    <xf numFmtId="165" fontId="4" fillId="0" borderId="0" xfId="0" applyNumberFormat="1" applyFont="1"/>
    <xf numFmtId="1" fontId="8" fillId="0" borderId="0" xfId="0" applyNumberFormat="1" applyFont="1"/>
    <xf numFmtId="2" fontId="6" fillId="0" borderId="0" xfId="0" applyNumberFormat="1" applyFont="1"/>
    <xf numFmtId="2" fontId="4" fillId="0" borderId="0" xfId="0" applyNumberFormat="1" applyFont="1"/>
    <xf numFmtId="169" fontId="4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5" fontId="3" fillId="4" borderId="0" xfId="0" applyNumberFormat="1" applyFont="1" applyFill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164" fontId="10" fillId="0" borderId="0" xfId="0" applyNumberFormat="1" applyFont="1"/>
    <xf numFmtId="0" fontId="12" fillId="3" borderId="0" xfId="0" applyFont="1" applyFill="1"/>
    <xf numFmtId="0" fontId="13" fillId="0" borderId="0" xfId="0" applyFont="1"/>
    <xf numFmtId="165" fontId="13" fillId="0" borderId="0" xfId="0" applyNumberFormat="1" applyFont="1"/>
    <xf numFmtId="164" fontId="12" fillId="3" borderId="0" xfId="0" applyNumberFormat="1" applyFont="1" applyFill="1"/>
    <xf numFmtId="0" fontId="12" fillId="0" borderId="0" xfId="0" applyFont="1"/>
    <xf numFmtId="164" fontId="12" fillId="0" borderId="0" xfId="0" applyNumberFormat="1" applyFont="1"/>
    <xf numFmtId="0" fontId="10" fillId="3" borderId="0" xfId="0" applyFont="1" applyFill="1"/>
    <xf numFmtId="164" fontId="10" fillId="3" borderId="0" xfId="0" applyNumberFormat="1" applyFont="1" applyFill="1"/>
    <xf numFmtId="164" fontId="14" fillId="0" borderId="0" xfId="0" applyNumberFormat="1" applyFont="1"/>
    <xf numFmtId="165" fontId="10" fillId="0" borderId="0" xfId="0" applyNumberFormat="1" applyFont="1"/>
    <xf numFmtId="165" fontId="10" fillId="2" borderId="4" xfId="0" applyNumberFormat="1" applyFont="1" applyFill="1" applyBorder="1"/>
    <xf numFmtId="165" fontId="10" fillId="2" borderId="5" xfId="0" applyNumberFormat="1" applyFont="1" applyFill="1" applyBorder="1"/>
    <xf numFmtId="167" fontId="12" fillId="3" borderId="0" xfId="0" applyNumberFormat="1" applyFont="1" applyFill="1"/>
    <xf numFmtId="165" fontId="10" fillId="2" borderId="6" xfId="0" applyNumberFormat="1" applyFont="1" applyFill="1" applyBorder="1"/>
    <xf numFmtId="165" fontId="10" fillId="2" borderId="7" xfId="0" applyNumberFormat="1" applyFont="1" applyFill="1" applyBorder="1"/>
    <xf numFmtId="0" fontId="13" fillId="3" borderId="0" xfId="0" applyFont="1" applyFill="1"/>
    <xf numFmtId="165" fontId="13" fillId="3" borderId="0" xfId="0" applyNumberFormat="1" applyFont="1" applyFill="1"/>
    <xf numFmtId="165" fontId="15" fillId="2" borderId="2" xfId="0" applyNumberFormat="1" applyFont="1" applyFill="1" applyBorder="1"/>
    <xf numFmtId="165" fontId="15" fillId="2" borderId="3" xfId="0" applyNumberFormat="1" applyFont="1" applyFill="1" applyBorder="1"/>
    <xf numFmtId="166" fontId="10" fillId="3" borderId="0" xfId="0" applyNumberFormat="1" applyFont="1" applyFill="1"/>
    <xf numFmtId="164" fontId="16" fillId="0" borderId="0" xfId="0" applyNumberFormat="1" applyFont="1"/>
    <xf numFmtId="165" fontId="17" fillId="0" borderId="0" xfId="0" applyNumberFormat="1" applyFont="1"/>
    <xf numFmtId="165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3" fillId="5" borderId="0" xfId="0" applyFont="1" applyFill="1"/>
    <xf numFmtId="170" fontId="13" fillId="5" borderId="0" xfId="0" applyNumberFormat="1" applyFont="1" applyFill="1"/>
    <xf numFmtId="170" fontId="19" fillId="5" borderId="0" xfId="0" applyNumberFormat="1" applyFont="1" applyFill="1"/>
    <xf numFmtId="0" fontId="20" fillId="5" borderId="0" xfId="0" applyFont="1" applyFill="1"/>
    <xf numFmtId="170" fontId="20" fillId="5" borderId="0" xfId="0" applyNumberFormat="1" applyFont="1" applyFill="1"/>
    <xf numFmtId="170" fontId="21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41BBE8-54B3-45B8-BA44-735830C6ACD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55566d8-bc41-4963-a04d-e781e08ea5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showGridLines="0" tabSelected="1" zoomScale="69" workbookViewId="0">
      <pane xSplit="1" ySplit="4" topLeftCell="B5" activePane="bottomRight" state="frozen"/>
      <selection pane="topRight"/>
      <selection pane="bottomLeft"/>
      <selection pane="bottomRight" activeCell="K21" sqref="K21"/>
    </sheetView>
  </sheetViews>
  <sheetFormatPr defaultRowHeight="14.25" x14ac:dyDescent="0.45"/>
  <cols>
    <col min="1" max="1" width="44" customWidth="1"/>
    <col min="2" max="9" width="11" customWidth="1"/>
    <col min="10" max="10" width="3" customWidth="1"/>
    <col min="11" max="11" width="26" customWidth="1"/>
    <col min="12" max="12" width="12" customWidth="1"/>
  </cols>
  <sheetData>
    <row r="1" spans="1:12" ht="15.4" x14ac:dyDescent="0.45">
      <c r="A1" s="1" t="s">
        <v>0</v>
      </c>
    </row>
    <row r="2" spans="1:12" x14ac:dyDescent="0.45">
      <c r="A2" s="2" t="s">
        <v>111</v>
      </c>
    </row>
    <row r="4" spans="1:12" x14ac:dyDescent="0.45">
      <c r="A4" s="28"/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</v>
      </c>
      <c r="J4" s="30"/>
      <c r="K4" s="30"/>
      <c r="L4" s="30"/>
    </row>
    <row r="5" spans="1:12" x14ac:dyDescent="0.45">
      <c r="A5" s="31" t="s">
        <v>9</v>
      </c>
      <c r="B5" s="32">
        <v>4332</v>
      </c>
      <c r="C5" s="32">
        <v>4343</v>
      </c>
      <c r="D5" s="33">
        <f>$B$26</f>
        <v>4620</v>
      </c>
      <c r="E5" s="33">
        <f>D5*(1+$B$25)</f>
        <v>5264.3388840232719</v>
      </c>
      <c r="F5" s="33">
        <f>E5*(1+$B$25)</f>
        <v>5998.5419666319021</v>
      </c>
      <c r="G5" s="33">
        <f>F5*(1+$B$25)</f>
        <v>6835.1423641527599</v>
      </c>
      <c r="H5" s="33">
        <f>G5*(1+$B$25)</f>
        <v>7788.4211526935342</v>
      </c>
      <c r="I5" s="33">
        <f>H5*(1+$B$25)</f>
        <v>8874.6511513579917</v>
      </c>
      <c r="J5" s="30"/>
      <c r="K5" s="34" t="s">
        <v>10</v>
      </c>
      <c r="L5" s="53">
        <f>(B24*I61+B32)/I13</f>
        <v>20.577370656858715</v>
      </c>
    </row>
    <row r="6" spans="1:12" x14ac:dyDescent="0.45">
      <c r="A6" s="35" t="s">
        <v>11</v>
      </c>
      <c r="B6" s="30"/>
      <c r="C6" s="36">
        <f t="shared" ref="C6:I6" si="0">C5/B5-1</f>
        <v>2.5392428439519055E-3</v>
      </c>
      <c r="D6" s="51">
        <f t="shared" si="0"/>
        <v>6.3780796684319574E-2</v>
      </c>
      <c r="E6" s="52">
        <f t="shared" si="0"/>
        <v>0.13946729091412813</v>
      </c>
      <c r="F6" s="36">
        <f t="shared" si="0"/>
        <v>0.13946729091412813</v>
      </c>
      <c r="G6" s="36">
        <f t="shared" si="0"/>
        <v>0.13946729091412813</v>
      </c>
      <c r="H6" s="36">
        <f t="shared" si="0"/>
        <v>0.13946729091412813</v>
      </c>
      <c r="I6" s="36">
        <f t="shared" si="0"/>
        <v>0.13946729091412813</v>
      </c>
      <c r="J6" s="30"/>
      <c r="K6" s="34" t="s">
        <v>12</v>
      </c>
      <c r="L6" s="41">
        <f>I13</f>
        <v>2873.9361052503282</v>
      </c>
    </row>
    <row r="7" spans="1:12" x14ac:dyDescent="0.45">
      <c r="A7" s="62" t="s">
        <v>99</v>
      </c>
      <c r="B7" s="63"/>
      <c r="C7" s="63"/>
      <c r="D7" s="64">
        <f t="shared" ref="D7:I7" si="1">ROUND((D6-D84)*10000,0)</f>
        <v>-12</v>
      </c>
      <c r="E7" s="64">
        <f t="shared" si="1"/>
        <v>761</v>
      </c>
      <c r="F7" s="64">
        <f t="shared" si="1"/>
        <v>693</v>
      </c>
      <c r="G7" s="64">
        <f t="shared" si="1"/>
        <v>659</v>
      </c>
      <c r="H7" s="64">
        <f t="shared" si="1"/>
        <v>619</v>
      </c>
      <c r="I7" s="64">
        <f t="shared" si="1"/>
        <v>383</v>
      </c>
      <c r="J7" s="30"/>
      <c r="K7" s="34" t="s">
        <v>14</v>
      </c>
      <c r="L7" s="37">
        <f>L5*L6/(1+B23)^((DATE(2031,12,31)-B22)/365)</f>
        <v>36835.423381147404</v>
      </c>
    </row>
    <row r="8" spans="1:12" x14ac:dyDescent="0.45">
      <c r="A8" s="38" t="s">
        <v>13</v>
      </c>
      <c r="B8" s="39">
        <f t="shared" ref="B8:I8" si="2">-(B5-B9)</f>
        <v>-1360</v>
      </c>
      <c r="C8" s="39">
        <f t="shared" si="2"/>
        <v>-1379</v>
      </c>
      <c r="D8" s="39">
        <f t="shared" si="2"/>
        <v>-1455.2999999999997</v>
      </c>
      <c r="E8" s="39">
        <f t="shared" si="2"/>
        <v>-1626.6807151631915</v>
      </c>
      <c r="F8" s="39">
        <f t="shared" si="2"/>
        <v>-1829.5552998227304</v>
      </c>
      <c r="G8" s="39">
        <f t="shared" si="2"/>
        <v>-2050.5427092458285</v>
      </c>
      <c r="H8" s="39">
        <f t="shared" si="2"/>
        <v>-2313.1610823499796</v>
      </c>
      <c r="I8" s="39">
        <f t="shared" si="2"/>
        <v>-2591.3981361965343</v>
      </c>
      <c r="J8" s="30"/>
      <c r="K8" s="34" t="s">
        <v>16</v>
      </c>
      <c r="L8" s="37">
        <f>SUM(D59:I59)</f>
        <v>5566.8566188526129</v>
      </c>
    </row>
    <row r="9" spans="1:12" x14ac:dyDescent="0.45">
      <c r="A9" s="31" t="s">
        <v>15</v>
      </c>
      <c r="B9" s="32">
        <v>2972</v>
      </c>
      <c r="C9" s="32">
        <v>2964</v>
      </c>
      <c r="D9" s="33">
        <f t="shared" ref="D9:I9" si="3">D5*D39</f>
        <v>3164.7000000000003</v>
      </c>
      <c r="E9" s="33">
        <f t="shared" si="3"/>
        <v>3637.6581688600804</v>
      </c>
      <c r="F9" s="33">
        <f t="shared" si="3"/>
        <v>4168.9866668091718</v>
      </c>
      <c r="G9" s="33">
        <f t="shared" si="3"/>
        <v>4784.5996549069314</v>
      </c>
      <c r="H9" s="33">
        <f t="shared" si="3"/>
        <v>5475.2600703435546</v>
      </c>
      <c r="I9" s="33">
        <f t="shared" si="3"/>
        <v>6283.2530151614574</v>
      </c>
      <c r="J9" s="30"/>
      <c r="K9" s="40" t="s">
        <v>18</v>
      </c>
      <c r="L9" s="41">
        <f>L7+L8</f>
        <v>42402.280000000013</v>
      </c>
    </row>
    <row r="10" spans="1:12" x14ac:dyDescent="0.45">
      <c r="A10" s="35" t="s">
        <v>17</v>
      </c>
      <c r="B10" s="36">
        <f t="shared" ref="B10:I10" si="4">B9/B5</f>
        <v>0.68605724838411819</v>
      </c>
      <c r="C10" s="36">
        <f t="shared" si="4"/>
        <v>0.68247755008058941</v>
      </c>
      <c r="D10" s="36">
        <f t="shared" si="4"/>
        <v>0.68500000000000005</v>
      </c>
      <c r="E10" s="36">
        <f t="shared" si="4"/>
        <v>0.69099999999999995</v>
      </c>
      <c r="F10" s="36">
        <f t="shared" si="4"/>
        <v>0.69499999999999995</v>
      </c>
      <c r="G10" s="36">
        <f t="shared" si="4"/>
        <v>0.7</v>
      </c>
      <c r="H10" s="36">
        <f t="shared" si="4"/>
        <v>0.70299999999999996</v>
      </c>
      <c r="I10" s="36">
        <f t="shared" si="4"/>
        <v>0.70799999999999996</v>
      </c>
      <c r="J10" s="30"/>
      <c r="K10" s="34" t="s">
        <v>20</v>
      </c>
      <c r="L10" s="37">
        <f>-B32</f>
        <v>-823</v>
      </c>
    </row>
    <row r="11" spans="1:12" x14ac:dyDescent="0.45">
      <c r="A11" s="59" t="s">
        <v>99</v>
      </c>
      <c r="B11" s="60"/>
      <c r="C11" s="60"/>
      <c r="D11" s="61">
        <f t="shared" ref="D11:I11" si="5">ROUND((D10-D85)*10000,0)</f>
        <v>0</v>
      </c>
      <c r="E11" s="61">
        <f t="shared" si="5"/>
        <v>0</v>
      </c>
      <c r="F11" s="61">
        <f t="shared" si="5"/>
        <v>0</v>
      </c>
      <c r="G11" s="61">
        <f t="shared" si="5"/>
        <v>0</v>
      </c>
      <c r="H11" s="61">
        <f t="shared" si="5"/>
        <v>0</v>
      </c>
      <c r="I11" s="61">
        <f t="shared" si="5"/>
        <v>0</v>
      </c>
      <c r="J11" s="30"/>
      <c r="K11" s="40" t="s">
        <v>22</v>
      </c>
      <c r="L11" s="41">
        <f>L9+L10</f>
        <v>41579.280000000013</v>
      </c>
    </row>
    <row r="12" spans="1:12" x14ac:dyDescent="0.45">
      <c r="A12" s="38" t="s">
        <v>19</v>
      </c>
      <c r="B12" s="39">
        <f t="shared" ref="B12:I12" si="6">-(B9-B13)</f>
        <v>-1825</v>
      </c>
      <c r="C12" s="39">
        <f t="shared" si="6"/>
        <v>-1756</v>
      </c>
      <c r="D12" s="39">
        <f t="shared" si="6"/>
        <v>-1867.1043243243248</v>
      </c>
      <c r="E12" s="39">
        <f t="shared" si="6"/>
        <v>-2042.7283320982515</v>
      </c>
      <c r="F12" s="39">
        <f t="shared" si="6"/>
        <v>-2319.1607857824611</v>
      </c>
      <c r="G12" s="39">
        <f t="shared" si="6"/>
        <v>-2617.9200134560301</v>
      </c>
      <c r="H12" s="39">
        <f t="shared" si="6"/>
        <v>-2920.4839465050218</v>
      </c>
      <c r="I12" s="39">
        <f t="shared" si="6"/>
        <v>-3409.3169099111292</v>
      </c>
      <c r="J12" s="30"/>
      <c r="K12" s="34" t="s">
        <v>24</v>
      </c>
      <c r="L12" s="37">
        <f>B33</f>
        <v>153</v>
      </c>
    </row>
    <row r="13" spans="1:12" x14ac:dyDescent="0.45">
      <c r="A13" s="38" t="s">
        <v>21</v>
      </c>
      <c r="B13" s="42">
        <v>1147</v>
      </c>
      <c r="C13" s="42">
        <v>1208</v>
      </c>
      <c r="D13" s="39">
        <f t="shared" ref="D13:I13" si="7">D5*(D40+D41)</f>
        <v>1297.5956756756755</v>
      </c>
      <c r="E13" s="39">
        <f t="shared" si="7"/>
        <v>1594.9298367618289</v>
      </c>
      <c r="F13" s="39">
        <f t="shared" si="7"/>
        <v>1849.8258810267107</v>
      </c>
      <c r="G13" s="39">
        <f t="shared" si="7"/>
        <v>2166.6796414509013</v>
      </c>
      <c r="H13" s="39">
        <f t="shared" si="7"/>
        <v>2554.7761238385328</v>
      </c>
      <c r="I13" s="39">
        <f t="shared" si="7"/>
        <v>2873.9361052503282</v>
      </c>
      <c r="J13" s="30"/>
      <c r="K13" s="34" t="s">
        <v>26</v>
      </c>
      <c r="L13" s="46">
        <f>L11/L12</f>
        <v>271.7600000000001</v>
      </c>
    </row>
    <row r="14" spans="1:12" x14ac:dyDescent="0.45">
      <c r="A14" s="35" t="s">
        <v>23</v>
      </c>
      <c r="B14" s="36">
        <f t="shared" ref="B14:I14" si="8">B13/B5</f>
        <v>0.26477377654662976</v>
      </c>
      <c r="C14" s="36">
        <f t="shared" si="8"/>
        <v>0.27814874510706883</v>
      </c>
      <c r="D14" s="36">
        <f t="shared" si="8"/>
        <v>0.28086486486486484</v>
      </c>
      <c r="E14" s="36">
        <f t="shared" si="8"/>
        <v>0.3029686864579097</v>
      </c>
      <c r="F14" s="36">
        <f t="shared" si="8"/>
        <v>0.30837925137754135</v>
      </c>
      <c r="G14" s="36">
        <f t="shared" si="8"/>
        <v>0.31699115044247783</v>
      </c>
      <c r="H14" s="36">
        <f t="shared" si="8"/>
        <v>0.32802233902759526</v>
      </c>
      <c r="I14" s="36">
        <f t="shared" si="8"/>
        <v>0.32383651551312648</v>
      </c>
      <c r="J14" s="30"/>
      <c r="K14" s="49" t="s">
        <v>28</v>
      </c>
      <c r="L14" s="50">
        <f>L13/B21-1</f>
        <v>0</v>
      </c>
    </row>
    <row r="15" spans="1:12" x14ac:dyDescent="0.45">
      <c r="A15" s="59" t="s">
        <v>99</v>
      </c>
      <c r="B15" s="60"/>
      <c r="C15" s="60"/>
      <c r="D15" s="61">
        <f t="shared" ref="D15:I15" si="9">ROUND((D14-D87)*10000,0)</f>
        <v>0</v>
      </c>
      <c r="E15" s="61">
        <f t="shared" si="9"/>
        <v>0</v>
      </c>
      <c r="F15" s="61">
        <f t="shared" si="9"/>
        <v>0</v>
      </c>
      <c r="G15" s="61">
        <f t="shared" si="9"/>
        <v>0</v>
      </c>
      <c r="H15" s="61">
        <f t="shared" si="9"/>
        <v>0</v>
      </c>
      <c r="I15" s="61">
        <f t="shared" si="9"/>
        <v>0</v>
      </c>
      <c r="J15" s="30"/>
    </row>
    <row r="16" spans="1:12" x14ac:dyDescent="0.45">
      <c r="A16" s="31" t="s">
        <v>25</v>
      </c>
      <c r="B16" s="43">
        <f t="shared" ref="B16:I16" si="10">(1+B43)/(1+$B$34)-1</f>
        <v>-0.1764874551971326</v>
      </c>
      <c r="C16" s="43">
        <f t="shared" si="10"/>
        <v>-0.18133704735376044</v>
      </c>
      <c r="D16" s="44">
        <f t="shared" si="10"/>
        <v>-0.1489753626525443</v>
      </c>
      <c r="E16" s="45">
        <f t="shared" si="10"/>
        <v>-8.8426167268697342E-2</v>
      </c>
      <c r="F16" s="43">
        <f t="shared" si="10"/>
        <v>-8.8426167268697453E-2</v>
      </c>
      <c r="G16" s="43">
        <f t="shared" si="10"/>
        <v>-8.8426167268697675E-2</v>
      </c>
      <c r="H16" s="43">
        <f t="shared" si="10"/>
        <v>-8.8426167268697342E-2</v>
      </c>
      <c r="I16" s="43">
        <f t="shared" si="10"/>
        <v>-8.8426167268697675E-2</v>
      </c>
      <c r="J16" s="30"/>
    </row>
    <row r="17" spans="1:10" x14ac:dyDescent="0.45">
      <c r="A17" s="31" t="s">
        <v>27</v>
      </c>
      <c r="B17" s="43">
        <f t="shared" ref="B17:I17" si="11">(1+B43)/(1+$B$35)-1</f>
        <v>-0.20816101461262759</v>
      </c>
      <c r="C17" s="43">
        <f t="shared" si="11"/>
        <v>-0.21282408399400043</v>
      </c>
      <c r="D17" s="47">
        <f t="shared" si="11"/>
        <v>-0.18170707947360032</v>
      </c>
      <c r="E17" s="48">
        <f t="shared" si="11"/>
        <v>-0.12348669929682443</v>
      </c>
      <c r="F17" s="43">
        <f t="shared" si="11"/>
        <v>-0.12348669929682454</v>
      </c>
      <c r="G17" s="43">
        <f t="shared" si="11"/>
        <v>-0.12348669929682476</v>
      </c>
      <c r="H17" s="43">
        <f t="shared" si="11"/>
        <v>-0.12348669929682443</v>
      </c>
      <c r="I17" s="43">
        <f t="shared" si="11"/>
        <v>-0.12348669929682476</v>
      </c>
      <c r="J17" s="30"/>
    </row>
    <row r="20" spans="1:10" x14ac:dyDescent="0.45">
      <c r="A20" s="11" t="s">
        <v>29</v>
      </c>
      <c r="B20" s="3"/>
      <c r="C20" s="11" t="s">
        <v>30</v>
      </c>
    </row>
    <row r="21" spans="1:10" x14ac:dyDescent="0.45">
      <c r="A21" s="7" t="s">
        <v>31</v>
      </c>
      <c r="B21" s="12">
        <v>271.76</v>
      </c>
      <c r="C21" s="13" t="s">
        <v>32</v>
      </c>
    </row>
    <row r="22" spans="1:10" x14ac:dyDescent="0.45">
      <c r="A22" s="7" t="s">
        <v>33</v>
      </c>
      <c r="B22" s="14">
        <v>46309</v>
      </c>
      <c r="C22" s="13" t="s">
        <v>34</v>
      </c>
    </row>
    <row r="23" spans="1:10" x14ac:dyDescent="0.45">
      <c r="A23" s="7" t="s">
        <v>35</v>
      </c>
      <c r="B23" s="15">
        <v>9.5000000000000001E-2</v>
      </c>
      <c r="C23" s="13" t="s">
        <v>36</v>
      </c>
    </row>
    <row r="24" spans="1:10" x14ac:dyDescent="0.45">
      <c r="A24" s="7" t="s">
        <v>37</v>
      </c>
      <c r="B24" s="16">
        <v>30</v>
      </c>
      <c r="C24" s="13" t="s">
        <v>38</v>
      </c>
    </row>
    <row r="25" spans="1:10" x14ac:dyDescent="0.45">
      <c r="A25" s="5" t="s">
        <v>39</v>
      </c>
      <c r="B25" s="17">
        <v>0.13946729091412802</v>
      </c>
      <c r="C25" s="13" t="s">
        <v>107</v>
      </c>
    </row>
    <row r="26" spans="1:10" x14ac:dyDescent="0.45">
      <c r="A26" s="7" t="s">
        <v>40</v>
      </c>
      <c r="B26" s="9">
        <v>4620</v>
      </c>
      <c r="C26" s="13" t="s">
        <v>41</v>
      </c>
    </row>
    <row r="27" spans="1:10" x14ac:dyDescent="0.45">
      <c r="A27" s="7" t="s">
        <v>42</v>
      </c>
      <c r="B27" s="15">
        <v>0.20499999999999999</v>
      </c>
      <c r="C27" s="13" t="s">
        <v>43</v>
      </c>
    </row>
    <row r="28" spans="1:10" x14ac:dyDescent="0.45">
      <c r="A28" s="7" t="s">
        <v>44</v>
      </c>
      <c r="B28" s="15">
        <v>4.9000000000000002E-2</v>
      </c>
      <c r="C28" s="13" t="s">
        <v>45</v>
      </c>
    </row>
    <row r="29" spans="1:10" x14ac:dyDescent="0.45">
      <c r="A29" s="7" t="s">
        <v>46</v>
      </c>
      <c r="B29" s="15">
        <v>0.15</v>
      </c>
      <c r="C29" s="13" t="s">
        <v>47</v>
      </c>
    </row>
    <row r="30" spans="1:10" x14ac:dyDescent="0.45">
      <c r="A30" s="7" t="s">
        <v>48</v>
      </c>
      <c r="B30" s="15">
        <v>6.0999999999999999E-2</v>
      </c>
      <c r="C30" s="13" t="s">
        <v>49</v>
      </c>
    </row>
    <row r="31" spans="1:10" x14ac:dyDescent="0.45">
      <c r="A31" s="7" t="s">
        <v>50</v>
      </c>
      <c r="B31" s="18">
        <v>0</v>
      </c>
      <c r="C31" s="13" t="s">
        <v>51</v>
      </c>
    </row>
    <row r="32" spans="1:10" x14ac:dyDescent="0.45">
      <c r="A32" s="7" t="s">
        <v>52</v>
      </c>
      <c r="B32" s="9">
        <v>823</v>
      </c>
      <c r="C32" s="13" t="s">
        <v>53</v>
      </c>
    </row>
    <row r="33" spans="1:10" x14ac:dyDescent="0.45">
      <c r="A33" s="7" t="s">
        <v>54</v>
      </c>
      <c r="B33" s="9">
        <v>153</v>
      </c>
      <c r="C33" s="13" t="s">
        <v>55</v>
      </c>
    </row>
    <row r="34" spans="1:10" x14ac:dyDescent="0.45">
      <c r="A34" s="7" t="s">
        <v>56</v>
      </c>
      <c r="B34" s="15">
        <v>0.25</v>
      </c>
      <c r="C34" s="13" t="s">
        <v>57</v>
      </c>
    </row>
    <row r="35" spans="1:10" x14ac:dyDescent="0.45">
      <c r="A35" s="7" t="s">
        <v>58</v>
      </c>
      <c r="B35" s="15">
        <v>0.3</v>
      </c>
      <c r="C35" s="13" t="s">
        <v>59</v>
      </c>
    </row>
    <row r="36" spans="1:10" x14ac:dyDescent="0.45">
      <c r="A36" s="7" t="s">
        <v>60</v>
      </c>
      <c r="B36" s="9">
        <v>2790</v>
      </c>
      <c r="C36" s="13" t="s">
        <v>61</v>
      </c>
    </row>
    <row r="37" spans="1:10" x14ac:dyDescent="0.45">
      <c r="A37" s="7" t="s">
        <v>62</v>
      </c>
      <c r="B37" s="9">
        <v>65</v>
      </c>
      <c r="C37" s="13" t="s">
        <v>63</v>
      </c>
    </row>
    <row r="38" spans="1:10" x14ac:dyDescent="0.45">
      <c r="A38" s="11" t="s">
        <v>64</v>
      </c>
      <c r="B38" s="4" t="s">
        <v>1</v>
      </c>
      <c r="C38" s="4" t="s">
        <v>2</v>
      </c>
      <c r="D38" s="4" t="s">
        <v>3</v>
      </c>
      <c r="E38" s="4" t="s">
        <v>4</v>
      </c>
      <c r="F38" s="4" t="s">
        <v>5</v>
      </c>
      <c r="G38" s="4" t="s">
        <v>6</v>
      </c>
      <c r="H38" s="4" t="s">
        <v>7</v>
      </c>
      <c r="I38" s="4" t="s">
        <v>8</v>
      </c>
    </row>
    <row r="39" spans="1:10" x14ac:dyDescent="0.45">
      <c r="A39" s="7" t="s">
        <v>65</v>
      </c>
      <c r="B39" s="19">
        <f>B9/B5</f>
        <v>0.68605724838411819</v>
      </c>
      <c r="C39" s="19">
        <f>C9/C5</f>
        <v>0.68247755008058941</v>
      </c>
      <c r="D39" s="55">
        <f t="shared" ref="D39:I39" si="12">D85</f>
        <v>0.68500000000000005</v>
      </c>
      <c r="E39" s="55">
        <f t="shared" si="12"/>
        <v>0.69099999999999995</v>
      </c>
      <c r="F39" s="55">
        <f t="shared" si="12"/>
        <v>0.69499999999999995</v>
      </c>
      <c r="G39" s="55">
        <f t="shared" si="12"/>
        <v>0.7</v>
      </c>
      <c r="H39" s="55">
        <f t="shared" si="12"/>
        <v>0.70299999999999996</v>
      </c>
      <c r="I39" s="55">
        <f t="shared" si="12"/>
        <v>0.70799999999999996</v>
      </c>
      <c r="J39" s="13" t="s">
        <v>109</v>
      </c>
    </row>
    <row r="40" spans="1:10" x14ac:dyDescent="0.45">
      <c r="A40" s="7" t="s">
        <v>66</v>
      </c>
      <c r="B40" s="15">
        <v>0.21299999999999999</v>
      </c>
      <c r="C40" s="15">
        <f>1004/C5</f>
        <v>0.2311766060326963</v>
      </c>
      <c r="D40" s="55">
        <f t="shared" ref="D40:I40" si="13">D87-D41</f>
        <v>0.23486486486486485</v>
      </c>
      <c r="E40" s="55">
        <f t="shared" si="13"/>
        <v>0.25796868645790971</v>
      </c>
      <c r="F40" s="55">
        <f t="shared" si="13"/>
        <v>0.26437925137754137</v>
      </c>
      <c r="G40" s="55">
        <f t="shared" si="13"/>
        <v>0.2739911504424779</v>
      </c>
      <c r="H40" s="55">
        <f t="shared" si="13"/>
        <v>0.28602233902759527</v>
      </c>
      <c r="I40" s="55">
        <f t="shared" si="13"/>
        <v>0.2828365155131265</v>
      </c>
      <c r="J40" s="13" t="s">
        <v>110</v>
      </c>
    </row>
    <row r="41" spans="1:10" x14ac:dyDescent="0.45">
      <c r="A41" s="7" t="s">
        <v>67</v>
      </c>
      <c r="B41" s="15">
        <f>224/B5</f>
        <v>5.1708217913204062E-2</v>
      </c>
      <c r="C41" s="15">
        <f>204/C5</f>
        <v>4.6972139074372553E-2</v>
      </c>
      <c r="D41" s="15">
        <v>4.5999999999999999E-2</v>
      </c>
      <c r="E41" s="15">
        <v>4.4999999999999998E-2</v>
      </c>
      <c r="F41" s="15">
        <v>4.3999999999999997E-2</v>
      </c>
      <c r="G41" s="15">
        <v>4.2999999999999997E-2</v>
      </c>
      <c r="H41" s="15">
        <v>4.2000000000000003E-2</v>
      </c>
      <c r="I41" s="15">
        <v>4.1000000000000002E-2</v>
      </c>
      <c r="J41" s="13" t="s">
        <v>68</v>
      </c>
    </row>
    <row r="42" spans="1:10" x14ac:dyDescent="0.45">
      <c r="A42" s="7" t="s">
        <v>69</v>
      </c>
      <c r="B42" s="9">
        <v>2872</v>
      </c>
      <c r="C42" s="9">
        <v>2939</v>
      </c>
      <c r="D42" s="8">
        <f t="shared" ref="D42:I42" si="14">D5*$C$42/$C$5</f>
        <v>3126.4517614552151</v>
      </c>
      <c r="E42" s="8">
        <f t="shared" si="14"/>
        <v>3562.4895187990783</v>
      </c>
      <c r="F42" s="8">
        <f t="shared" si="14"/>
        <v>4059.3402808959613</v>
      </c>
      <c r="G42" s="8">
        <f t="shared" si="14"/>
        <v>4625.4854727711163</v>
      </c>
      <c r="H42" s="8">
        <f t="shared" si="14"/>
        <v>5270.5894008211599</v>
      </c>
      <c r="I42" s="8">
        <f t="shared" si="14"/>
        <v>6005.6642260744038</v>
      </c>
      <c r="J42" s="13" t="s">
        <v>70</v>
      </c>
    </row>
    <row r="43" spans="1:10" x14ac:dyDescent="0.45">
      <c r="A43" s="7" t="s">
        <v>71</v>
      </c>
      <c r="B43" s="19">
        <f>B42/$B$36-1</f>
        <v>2.9390681003584218E-2</v>
      </c>
      <c r="C43" s="19">
        <f t="shared" ref="C43:I43" si="15">C42/B42-1</f>
        <v>2.3328690807799424E-2</v>
      </c>
      <c r="D43" s="19">
        <f t="shared" si="15"/>
        <v>6.3780796684319574E-2</v>
      </c>
      <c r="E43" s="19">
        <f t="shared" si="15"/>
        <v>0.13946729091412835</v>
      </c>
      <c r="F43" s="19">
        <f t="shared" si="15"/>
        <v>0.13946729091412813</v>
      </c>
      <c r="G43" s="19">
        <f t="shared" si="15"/>
        <v>0.13946729091412791</v>
      </c>
      <c r="H43" s="19">
        <f t="shared" si="15"/>
        <v>0.13946729091412835</v>
      </c>
      <c r="I43" s="19">
        <f t="shared" si="15"/>
        <v>0.13946729091412791</v>
      </c>
    </row>
    <row r="44" spans="1:10" x14ac:dyDescent="0.45">
      <c r="A44" s="7" t="s">
        <v>72</v>
      </c>
      <c r="D44" s="20">
        <v>2026</v>
      </c>
      <c r="E44" s="20">
        <v>2027</v>
      </c>
      <c r="F44" s="20">
        <v>2028</v>
      </c>
      <c r="G44" s="20">
        <v>2029</v>
      </c>
      <c r="H44" s="20">
        <v>2030</v>
      </c>
      <c r="I44" s="20">
        <v>2031</v>
      </c>
    </row>
    <row r="46" spans="1:10" x14ac:dyDescent="0.45">
      <c r="A46" s="11" t="s">
        <v>73</v>
      </c>
      <c r="D46" s="4" t="s">
        <v>3</v>
      </c>
      <c r="E46" s="4" t="s">
        <v>4</v>
      </c>
      <c r="F46" s="4" t="s">
        <v>5</v>
      </c>
      <c r="G46" s="4" t="s">
        <v>6</v>
      </c>
      <c r="H46" s="4" t="s">
        <v>7</v>
      </c>
      <c r="I46" s="4" t="s">
        <v>8</v>
      </c>
    </row>
    <row r="47" spans="1:10" x14ac:dyDescent="0.45">
      <c r="A47" s="7" t="s">
        <v>21</v>
      </c>
      <c r="D47" s="8">
        <f t="shared" ref="D47:I47" si="16">D13</f>
        <v>1297.5956756756755</v>
      </c>
      <c r="E47" s="8">
        <f t="shared" si="16"/>
        <v>1594.9298367618289</v>
      </c>
      <c r="F47" s="8">
        <f t="shared" si="16"/>
        <v>1849.8258810267107</v>
      </c>
      <c r="G47" s="8">
        <f t="shared" si="16"/>
        <v>2166.6796414509013</v>
      </c>
      <c r="H47" s="8">
        <f t="shared" si="16"/>
        <v>2554.7761238385328</v>
      </c>
      <c r="I47" s="8">
        <f t="shared" si="16"/>
        <v>2873.9361052503282</v>
      </c>
    </row>
    <row r="48" spans="1:10" x14ac:dyDescent="0.45">
      <c r="A48" s="7" t="s">
        <v>74</v>
      </c>
      <c r="D48" s="8">
        <f t="shared" ref="D48:I48" si="17">-D5*D41</f>
        <v>-212.52</v>
      </c>
      <c r="E48" s="8">
        <f t="shared" si="17"/>
        <v>-236.89524978104723</v>
      </c>
      <c r="F48" s="8">
        <f t="shared" si="17"/>
        <v>-263.93584653180369</v>
      </c>
      <c r="G48" s="8">
        <f t="shared" si="17"/>
        <v>-293.91112165856867</v>
      </c>
      <c r="H48" s="8">
        <f t="shared" si="17"/>
        <v>-327.11368841312844</v>
      </c>
      <c r="I48" s="8">
        <f t="shared" si="17"/>
        <v>-363.8606972056777</v>
      </c>
    </row>
    <row r="49" spans="1:10" x14ac:dyDescent="0.45">
      <c r="A49" s="7" t="s">
        <v>75</v>
      </c>
      <c r="D49" s="8">
        <f t="shared" ref="D49:I49" si="18">D47+D48</f>
        <v>1085.0756756756755</v>
      </c>
      <c r="E49" s="8">
        <f t="shared" si="18"/>
        <v>1358.0345869807818</v>
      </c>
      <c r="F49" s="8">
        <f t="shared" si="18"/>
        <v>1585.890034494907</v>
      </c>
      <c r="G49" s="8">
        <f t="shared" si="18"/>
        <v>1872.7685197923327</v>
      </c>
      <c r="H49" s="8">
        <f t="shared" si="18"/>
        <v>2227.6624354254045</v>
      </c>
      <c r="I49" s="8">
        <f t="shared" si="18"/>
        <v>2510.0754080446504</v>
      </c>
    </row>
    <row r="50" spans="1:10" x14ac:dyDescent="0.45">
      <c r="A50" s="7" t="s">
        <v>76</v>
      </c>
      <c r="D50" s="8">
        <f t="shared" ref="D50:I50" si="19">-D49*$B$27</f>
        <v>-222.44051351351345</v>
      </c>
      <c r="E50" s="8">
        <f t="shared" si="19"/>
        <v>-278.39709033106027</v>
      </c>
      <c r="F50" s="8">
        <f t="shared" si="19"/>
        <v>-325.10745707145594</v>
      </c>
      <c r="G50" s="8">
        <f t="shared" si="19"/>
        <v>-383.91754655742818</v>
      </c>
      <c r="H50" s="8">
        <f t="shared" si="19"/>
        <v>-456.67079926220788</v>
      </c>
      <c r="I50" s="8">
        <f t="shared" si="19"/>
        <v>-514.56545864915336</v>
      </c>
    </row>
    <row r="51" spans="1:10" x14ac:dyDescent="0.45">
      <c r="A51" s="7" t="s">
        <v>77</v>
      </c>
      <c r="D51" s="8">
        <f t="shared" ref="D51:I51" si="20">-D48</f>
        <v>212.52</v>
      </c>
      <c r="E51" s="8">
        <f t="shared" si="20"/>
        <v>236.89524978104723</v>
      </c>
      <c r="F51" s="8">
        <f t="shared" si="20"/>
        <v>263.93584653180369</v>
      </c>
      <c r="G51" s="8">
        <f t="shared" si="20"/>
        <v>293.91112165856867</v>
      </c>
      <c r="H51" s="8">
        <f t="shared" si="20"/>
        <v>327.11368841312844</v>
      </c>
      <c r="I51" s="8">
        <f t="shared" si="20"/>
        <v>363.8606972056777</v>
      </c>
    </row>
    <row r="52" spans="1:10" x14ac:dyDescent="0.45">
      <c r="A52" s="7" t="s">
        <v>78</v>
      </c>
      <c r="D52" s="8">
        <f t="shared" ref="D52:I52" si="21">-D5*$B$28</f>
        <v>-226.38</v>
      </c>
      <c r="E52" s="8">
        <f t="shared" si="21"/>
        <v>-257.95260531714035</v>
      </c>
      <c r="F52" s="8">
        <f t="shared" si="21"/>
        <v>-293.92855636496324</v>
      </c>
      <c r="G52" s="8">
        <f t="shared" si="21"/>
        <v>-334.92197584348526</v>
      </c>
      <c r="H52" s="8">
        <f t="shared" si="21"/>
        <v>-381.63263648198318</v>
      </c>
      <c r="I52" s="8">
        <f t="shared" si="21"/>
        <v>-434.8579064165416</v>
      </c>
    </row>
    <row r="53" spans="1:10" x14ac:dyDescent="0.45">
      <c r="A53" s="7" t="s">
        <v>79</v>
      </c>
      <c r="D53" s="8">
        <f t="shared" ref="D53:I53" si="22">-(D5-C5)*$B$29</f>
        <v>-41.55</v>
      </c>
      <c r="E53" s="8">
        <f t="shared" si="22"/>
        <v>-96.650832603490784</v>
      </c>
      <c r="F53" s="8">
        <f t="shared" si="22"/>
        <v>-110.13046239129453</v>
      </c>
      <c r="G53" s="8">
        <f t="shared" si="22"/>
        <v>-125.49005962812866</v>
      </c>
      <c r="H53" s="8">
        <f t="shared" si="22"/>
        <v>-142.99181828111614</v>
      </c>
      <c r="I53" s="8">
        <f t="shared" si="22"/>
        <v>-162.93449979966863</v>
      </c>
    </row>
    <row r="54" spans="1:10" x14ac:dyDescent="0.45">
      <c r="A54" s="7" t="s">
        <v>80</v>
      </c>
      <c r="D54" s="8">
        <f t="shared" ref="D54:I54" si="23">-D5*$B$30*$B$31</f>
        <v>0</v>
      </c>
      <c r="E54" s="8">
        <f t="shared" si="23"/>
        <v>0</v>
      </c>
      <c r="F54" s="8">
        <f t="shared" si="23"/>
        <v>0</v>
      </c>
      <c r="G54" s="8">
        <f t="shared" si="23"/>
        <v>0</v>
      </c>
      <c r="H54" s="8">
        <f t="shared" si="23"/>
        <v>0</v>
      </c>
      <c r="I54" s="8">
        <f t="shared" si="23"/>
        <v>0</v>
      </c>
    </row>
    <row r="55" spans="1:10" x14ac:dyDescent="0.45">
      <c r="A55" s="5" t="s">
        <v>81</v>
      </c>
      <c r="D55" s="6">
        <f t="shared" ref="D55:I55" si="24">D49+D50+D51+D52+D53+D54</f>
        <v>807.22516216216206</v>
      </c>
      <c r="E55" s="6">
        <f t="shared" si="24"/>
        <v>961.9293085101375</v>
      </c>
      <c r="F55" s="6">
        <f t="shared" si="24"/>
        <v>1120.6594051989971</v>
      </c>
      <c r="G55" s="6">
        <f t="shared" si="24"/>
        <v>1322.350059421859</v>
      </c>
      <c r="H55" s="6">
        <f t="shared" si="24"/>
        <v>1573.4808698132258</v>
      </c>
      <c r="I55" s="6">
        <f t="shared" si="24"/>
        <v>1761.5782403849648</v>
      </c>
    </row>
    <row r="56" spans="1:10" x14ac:dyDescent="0.45">
      <c r="A56" s="7" t="s">
        <v>82</v>
      </c>
      <c r="D56" s="21">
        <v>0.5</v>
      </c>
      <c r="E56" s="21">
        <v>1</v>
      </c>
      <c r="F56" s="21">
        <v>1</v>
      </c>
      <c r="G56" s="21">
        <v>1</v>
      </c>
      <c r="H56" s="21">
        <v>1</v>
      </c>
      <c r="I56" s="21">
        <v>1</v>
      </c>
      <c r="J56" s="13" t="s">
        <v>83</v>
      </c>
    </row>
    <row r="57" spans="1:10" x14ac:dyDescent="0.45">
      <c r="A57" s="7" t="s">
        <v>84</v>
      </c>
      <c r="D57" s="22">
        <f>(DATE(D44,12,31)-$B$22)/365/2</f>
        <v>0.10684931506849316</v>
      </c>
      <c r="E57" s="22">
        <f>(DATE(E44,6,30)-$B$22)/365</f>
        <v>0.70958904109589038</v>
      </c>
      <c r="F57" s="22">
        <f>(DATE(F44,6,30)-$B$22)/365</f>
        <v>1.7123287671232876</v>
      </c>
      <c r="G57" s="22">
        <f>(DATE(G44,6,30)-$B$22)/365</f>
        <v>2.7123287671232879</v>
      </c>
      <c r="H57" s="22">
        <f>(DATE(H44,6,30)-$B$22)/365</f>
        <v>3.7123287671232879</v>
      </c>
      <c r="I57" s="22">
        <f>(DATE(I44,6,30)-$B$22)/365</f>
        <v>4.7123287671232879</v>
      </c>
      <c r="J57" s="13" t="s">
        <v>85</v>
      </c>
    </row>
    <row r="58" spans="1:10" x14ac:dyDescent="0.45">
      <c r="A58" s="7" t="s">
        <v>86</v>
      </c>
      <c r="D58" s="23">
        <f t="shared" ref="D58:I58" si="25">1/(1+$B$23)^D57</f>
        <v>0.99034982314742415</v>
      </c>
      <c r="E58" s="23">
        <f t="shared" si="25"/>
        <v>0.93763146502673567</v>
      </c>
      <c r="F58" s="23">
        <f t="shared" si="25"/>
        <v>0.85607156105907578</v>
      </c>
      <c r="G58" s="23">
        <f t="shared" si="25"/>
        <v>0.78180051238271775</v>
      </c>
      <c r="H58" s="23">
        <f t="shared" si="25"/>
        <v>0.71397307066914861</v>
      </c>
      <c r="I58" s="23">
        <f t="shared" si="25"/>
        <v>0.65203020152433666</v>
      </c>
    </row>
    <row r="59" spans="1:10" x14ac:dyDescent="0.45">
      <c r="A59" s="5" t="s">
        <v>87</v>
      </c>
      <c r="D59" s="6">
        <f t="shared" ref="D59:I59" si="26">D55*D56*D58</f>
        <v>399.71764829372398</v>
      </c>
      <c r="E59" s="6">
        <f t="shared" si="26"/>
        <v>901.93518679051499</v>
      </c>
      <c r="F59" s="6">
        <f t="shared" si="26"/>
        <v>959.36464642424073</v>
      </c>
      <c r="G59" s="6">
        <f t="shared" si="26"/>
        <v>1033.8139540053267</v>
      </c>
      <c r="H59" s="6">
        <f t="shared" si="26"/>
        <v>1123.4229682597118</v>
      </c>
      <c r="I59" s="6">
        <f t="shared" si="26"/>
        <v>1148.602215079095</v>
      </c>
    </row>
    <row r="60" spans="1:10" x14ac:dyDescent="0.45">
      <c r="A60" s="7" t="s">
        <v>88</v>
      </c>
      <c r="D60" s="8">
        <f t="shared" ref="D60:I60" si="27">-$B$37</f>
        <v>-65</v>
      </c>
      <c r="E60" s="8">
        <f t="shared" si="27"/>
        <v>-65</v>
      </c>
      <c r="F60" s="8">
        <f t="shared" si="27"/>
        <v>-65</v>
      </c>
      <c r="G60" s="8">
        <f t="shared" si="27"/>
        <v>-65</v>
      </c>
      <c r="H60" s="8">
        <f t="shared" si="27"/>
        <v>-65</v>
      </c>
      <c r="I60" s="8">
        <f t="shared" si="27"/>
        <v>-65</v>
      </c>
    </row>
    <row r="61" spans="1:10" x14ac:dyDescent="0.45">
      <c r="A61" s="7" t="s">
        <v>89</v>
      </c>
      <c r="D61" s="8">
        <f t="shared" ref="D61:I61" si="28">(D49+D60)*(1-$B$27)</f>
        <v>810.96016216216208</v>
      </c>
      <c r="E61" s="8">
        <f t="shared" si="28"/>
        <v>1027.9624966497215</v>
      </c>
      <c r="F61" s="8">
        <f t="shared" si="28"/>
        <v>1209.1075774234512</v>
      </c>
      <c r="G61" s="8">
        <f t="shared" si="28"/>
        <v>1437.1759732349046</v>
      </c>
      <c r="H61" s="8">
        <f t="shared" si="28"/>
        <v>1719.3166361631966</v>
      </c>
      <c r="I61" s="8">
        <f t="shared" si="28"/>
        <v>1943.8349493954972</v>
      </c>
      <c r="J61" s="13" t="s">
        <v>90</v>
      </c>
    </row>
    <row r="62" spans="1:10" x14ac:dyDescent="0.45">
      <c r="A62" s="5" t="s">
        <v>91</v>
      </c>
      <c r="D62" s="24">
        <f t="shared" ref="D62:I62" si="29">D61/$B$33</f>
        <v>5.3003932167461576</v>
      </c>
      <c r="E62" s="24">
        <f t="shared" si="29"/>
        <v>6.7187091284295528</v>
      </c>
      <c r="F62" s="24">
        <f t="shared" si="29"/>
        <v>7.9026639047284393</v>
      </c>
      <c r="G62" s="24">
        <f t="shared" si="29"/>
        <v>9.3933070146072204</v>
      </c>
      <c r="H62" s="24">
        <f t="shared" si="29"/>
        <v>11.237363635053573</v>
      </c>
      <c r="I62" s="24">
        <f t="shared" si="29"/>
        <v>12.704803590820243</v>
      </c>
      <c r="J62" s="13" t="s">
        <v>92</v>
      </c>
    </row>
    <row r="65" spans="1:6" x14ac:dyDescent="0.45">
      <c r="A65" s="5" t="s">
        <v>112</v>
      </c>
    </row>
    <row r="66" spans="1:6" x14ac:dyDescent="0.45">
      <c r="A66" s="2" t="s">
        <v>93</v>
      </c>
      <c r="B66" s="25">
        <v>20</v>
      </c>
      <c r="C66" s="25">
        <v>25</v>
      </c>
      <c r="D66" s="25">
        <v>30</v>
      </c>
      <c r="E66" s="25">
        <v>35</v>
      </c>
      <c r="F66" s="25">
        <v>40</v>
      </c>
    </row>
    <row r="67" spans="1:6" x14ac:dyDescent="0.45">
      <c r="A67" s="13" t="s">
        <v>94</v>
      </c>
      <c r="B67" s="26">
        <v>13.836243847569737</v>
      </c>
      <c r="C67" s="26">
        <v>17.220486345662565</v>
      </c>
      <c r="D67" s="26">
        <v>20.577370656858715</v>
      </c>
      <c r="E67" s="26">
        <v>23.907345158655357</v>
      </c>
      <c r="F67" s="26">
        <v>27.210817136470705</v>
      </c>
    </row>
    <row r="68" spans="1:6" x14ac:dyDescent="0.45">
      <c r="A68" s="10">
        <v>8.5000000000000006E-2</v>
      </c>
      <c r="B68" s="19">
        <v>0.21471011930887973</v>
      </c>
      <c r="C68" s="19">
        <v>0.16670225084464818</v>
      </c>
      <c r="D68" s="19">
        <v>0.12865880474175817</v>
      </c>
      <c r="E68" s="19">
        <v>9.7360714686618999E-2</v>
      </c>
      <c r="F68" s="19">
        <v>7.0910814215745188E-2</v>
      </c>
    </row>
    <row r="69" spans="1:6" x14ac:dyDescent="0.45">
      <c r="A69" s="10">
        <v>9.5000000000000001E-2</v>
      </c>
      <c r="B69" s="19">
        <v>0.22644902865114055</v>
      </c>
      <c r="C69" s="19">
        <v>0.17792519730713907</v>
      </c>
      <c r="D69" s="27">
        <v>0.13946729091412802</v>
      </c>
      <c r="E69" s="19">
        <v>0.10782359925586528</v>
      </c>
      <c r="F69" s="19">
        <v>8.1077715010543394E-2</v>
      </c>
    </row>
    <row r="70" spans="1:6" x14ac:dyDescent="0.45">
      <c r="A70" s="10">
        <v>0.105</v>
      </c>
      <c r="B70" s="19">
        <v>0.23819394779276071</v>
      </c>
      <c r="C70" s="19">
        <v>0.18915567028465763</v>
      </c>
      <c r="D70" s="19">
        <v>0.15028470344910785</v>
      </c>
      <c r="E70" s="19">
        <v>0.11829672201452336</v>
      </c>
      <c r="F70" s="19">
        <v>9.1256095145911723E-2</v>
      </c>
    </row>
    <row r="72" spans="1:6" x14ac:dyDescent="0.45">
      <c r="A72" s="2" t="s">
        <v>95</v>
      </c>
      <c r="B72" s="25">
        <v>20</v>
      </c>
      <c r="C72" s="25">
        <v>25</v>
      </c>
      <c r="D72" s="25">
        <v>30</v>
      </c>
      <c r="E72" s="25">
        <v>35</v>
      </c>
      <c r="F72" s="25">
        <v>40</v>
      </c>
    </row>
    <row r="73" spans="1:6" x14ac:dyDescent="0.45">
      <c r="A73" s="10">
        <v>0.26</v>
      </c>
      <c r="B73" s="19">
        <v>0.24821909985477919</v>
      </c>
      <c r="C73" s="19">
        <v>0.19865064276988895</v>
      </c>
      <c r="D73" s="27">
        <v>0.15939526761110911</v>
      </c>
      <c r="E73" s="19">
        <v>0.12711297420370571</v>
      </c>
      <c r="F73" s="19">
        <v>9.9838337208920561E-2</v>
      </c>
    </row>
    <row r="74" spans="1:6" x14ac:dyDescent="0.45">
      <c r="A74" s="10">
        <v>0.28000000000000003</v>
      </c>
      <c r="B74" s="19">
        <v>0.22839655673800008</v>
      </c>
      <c r="C74" s="19">
        <v>0.17982896928268921</v>
      </c>
      <c r="D74" s="19">
        <v>0.14133500562023771</v>
      </c>
      <c r="E74" s="19">
        <v>0.10966058433438308</v>
      </c>
      <c r="F74" s="19">
        <v>8.288791062163392E-2</v>
      </c>
    </row>
    <row r="75" spans="1:6" x14ac:dyDescent="0.45">
      <c r="A75" s="10">
        <v>0.3</v>
      </c>
      <c r="B75" s="19">
        <v>0.21025006579041991</v>
      </c>
      <c r="C75" s="19">
        <v>0.16258903929606683</v>
      </c>
      <c r="D75" s="19">
        <v>0.12478628607325526</v>
      </c>
      <c r="E75" s="19">
        <v>9.3664576097809982E-2</v>
      </c>
      <c r="F75" s="19">
        <v>6.7348865521010715E-2</v>
      </c>
    </row>
    <row r="77" spans="1:6" x14ac:dyDescent="0.45">
      <c r="A77" s="2" t="s">
        <v>96</v>
      </c>
    </row>
    <row r="78" spans="1:6" x14ac:dyDescent="0.45">
      <c r="A78" s="2" t="s">
        <v>108</v>
      </c>
    </row>
    <row r="79" spans="1:6" x14ac:dyDescent="0.45">
      <c r="A79" s="2" t="s">
        <v>97</v>
      </c>
    </row>
    <row r="80" spans="1:6" x14ac:dyDescent="0.45">
      <c r="A80" s="2" t="s">
        <v>98</v>
      </c>
    </row>
    <row r="82" spans="1:9" x14ac:dyDescent="0.45">
      <c r="A82" s="11" t="s">
        <v>100</v>
      </c>
      <c r="B82" s="4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7</v>
      </c>
      <c r="I82" s="4" t="s">
        <v>8</v>
      </c>
    </row>
    <row r="83" spans="1:9" x14ac:dyDescent="0.45">
      <c r="A83" s="7" t="s">
        <v>105</v>
      </c>
      <c r="B83" s="9"/>
      <c r="C83" s="57">
        <f>C5</f>
        <v>4343</v>
      </c>
      <c r="D83" s="54">
        <v>4625</v>
      </c>
      <c r="E83" s="54">
        <v>4918</v>
      </c>
      <c r="F83" s="54">
        <v>5263</v>
      </c>
      <c r="G83" s="54">
        <v>5650</v>
      </c>
      <c r="H83" s="54">
        <v>6088</v>
      </c>
      <c r="I83" s="54">
        <v>6704</v>
      </c>
    </row>
    <row r="84" spans="1:9" x14ac:dyDescent="0.45">
      <c r="A84" s="7" t="s">
        <v>101</v>
      </c>
      <c r="B84" s="19"/>
      <c r="C84" s="19"/>
      <c r="D84" s="55">
        <f t="shared" ref="D84:I84" si="30">D83/C83-1</f>
        <v>6.4932074602809031E-2</v>
      </c>
      <c r="E84" s="55">
        <f t="shared" si="30"/>
        <v>6.3351351351351282E-2</v>
      </c>
      <c r="F84" s="55">
        <f t="shared" si="30"/>
        <v>7.0150467669784389E-2</v>
      </c>
      <c r="G84" s="55">
        <f t="shared" si="30"/>
        <v>7.3532205966178932E-2</v>
      </c>
      <c r="H84" s="55">
        <f t="shared" si="30"/>
        <v>7.7522123893805306E-2</v>
      </c>
      <c r="I84" s="55">
        <f t="shared" si="30"/>
        <v>0.10118265440210239</v>
      </c>
    </row>
    <row r="85" spans="1:9" x14ac:dyDescent="0.45">
      <c r="A85" s="7" t="s">
        <v>102</v>
      </c>
      <c r="B85" s="19"/>
      <c r="C85" s="19"/>
      <c r="D85" s="56">
        <v>0.68500000000000005</v>
      </c>
      <c r="E85" s="56">
        <v>0.69099999999999995</v>
      </c>
      <c r="F85" s="56">
        <v>0.69499999999999995</v>
      </c>
      <c r="G85" s="56">
        <v>0.7</v>
      </c>
      <c r="H85" s="56">
        <v>0.70299999999999996</v>
      </c>
      <c r="I85" s="56">
        <v>0.70799999999999996</v>
      </c>
    </row>
    <row r="86" spans="1:9" x14ac:dyDescent="0.45">
      <c r="A86" s="7" t="s">
        <v>106</v>
      </c>
      <c r="B86" s="9"/>
      <c r="C86" s="9"/>
      <c r="D86" s="54">
        <v>1299</v>
      </c>
      <c r="E86" s="54">
        <v>1490</v>
      </c>
      <c r="F86" s="54">
        <v>1623</v>
      </c>
      <c r="G86" s="54">
        <v>1791</v>
      </c>
      <c r="H86" s="54">
        <v>1997</v>
      </c>
      <c r="I86" s="54">
        <v>2171</v>
      </c>
    </row>
    <row r="87" spans="1:9" x14ac:dyDescent="0.45">
      <c r="A87" s="7" t="s">
        <v>103</v>
      </c>
      <c r="B87" s="19"/>
      <c r="C87" s="19"/>
      <c r="D87" s="55">
        <f t="shared" ref="D87:I87" si="31">D86/D83</f>
        <v>0.28086486486486484</v>
      </c>
      <c r="E87" s="55">
        <f t="shared" si="31"/>
        <v>0.3029686864579097</v>
      </c>
      <c r="F87" s="55">
        <f t="shared" si="31"/>
        <v>0.30837925137754135</v>
      </c>
      <c r="G87" s="55">
        <f t="shared" si="31"/>
        <v>0.31699115044247789</v>
      </c>
      <c r="H87" s="55">
        <f t="shared" si="31"/>
        <v>0.32802233902759526</v>
      </c>
      <c r="I87" s="55">
        <f t="shared" si="31"/>
        <v>0.32383651551312648</v>
      </c>
    </row>
    <row r="88" spans="1:9" x14ac:dyDescent="0.45">
      <c r="A88" s="58" t="s">
        <v>104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Palazzolo</cp:lastModifiedBy>
  <dcterms:created xsi:type="dcterms:W3CDTF">2026-10-15T01:06:48Z</dcterms:created>
  <dcterms:modified xsi:type="dcterms:W3CDTF">2026-10-28T20:19:06Z</dcterms:modified>
</cp:coreProperties>
</file>